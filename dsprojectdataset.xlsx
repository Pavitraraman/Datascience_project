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itra raman\Documents\"/>
    </mc:Choice>
  </mc:AlternateContent>
  <xr:revisionPtr revIDLastSave="0" documentId="8_{E0E182F0-D0BD-4983-BF57-9391AB773FDF}" xr6:coauthVersionLast="47" xr6:coauthVersionMax="47" xr10:uidLastSave="{00000000-0000-0000-0000-000000000000}"/>
  <bookViews>
    <workbookView xWindow="-108" yWindow="-108" windowWidth="23256" windowHeight="12456" activeTab="4" xr2:uid="{F868E416-F5EE-49BF-8FAC-23793FF918B9}"/>
  </bookViews>
  <sheets>
    <sheet name="Sheet2" sheetId="2" r:id="rId1"/>
    <sheet name="Sheet4" sheetId="4" r:id="rId2"/>
    <sheet name="pivot 1" sheetId="5" r:id="rId3"/>
    <sheet name="pivot 2" sheetId="6" r:id="rId4"/>
    <sheet name="Sheet1" sheetId="1" r:id="rId5"/>
    <sheet name="Sheet3" sheetId="3" r:id="rId6"/>
  </sheets>
  <definedNames>
    <definedName name="_xlcn.WorksheetConnection_Sheet1R1C1R501C111" hidden="1">Sheet1!$A$1:$K$501</definedName>
  </definedNames>
  <calcPr calcId="191029" refMode="R1C1" iterate="1"/>
  <pivotCaches>
    <pivotCache cacheId="0" r:id="rId7"/>
    <pivotCache cacheId="1" r:id="rId8"/>
  </pivotCaches>
  <extLst>
    <ext xmlns:x15="http://schemas.microsoft.com/office/spreadsheetml/2010/11/main" uri="{841E416B-1EF1-43b6-AB56-02D37102CBD5}">
      <x15:pivotCaches>
        <pivotCache cacheId="2" r:id="rId9"/>
      </x15:pivotCaches>
    </ext>
    <ext xmlns:x15="http://schemas.microsoft.com/office/spreadsheetml/2010/11/main" uri="{983426D0-5260-488c-9760-48F4B6AC55F4}">
      <x15:pivotTableReferences>
        <x15:pivotTableReference r:id="rId10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R1C1:R501C11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K6" i="1"/>
  <c r="K5" i="1" a="1"/>
  <c r="K5" i="1" s="1"/>
  <c r="K4" i="1"/>
  <c r="K3" i="1"/>
  <c r="K2" i="1"/>
  <c r="I1" i="1"/>
  <c r="C8" i="4"/>
  <c r="C9" i="4"/>
  <c r="D9" i="4"/>
  <c r="E9" i="4"/>
  <c r="D8" i="4"/>
  <c r="E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DB88CA-560E-4A24-9BD9-52BE23CC2DC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596ED0A-A7FA-48D5-9380-088584DA436D}" name="WorksheetConnection_Sheet1!R1C1:R501C1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R1C1R501C1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<sst xmlns="http://schemas.openxmlformats.org/spreadsheetml/2006/main" count="2039" uniqueCount="542">
  <si>
    <t>OrderID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</si>
  <si>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</si>
  <si>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</si>
  <si>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</si>
  <si>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</si>
  <si>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</si>
  <si>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</si>
  <si>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</si>
  <si>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</si>
  <si>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</si>
  <si>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</si>
  <si>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</si>
  <si>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</si>
  <si>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</si>
  <si>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</si>
  <si>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</si>
  <si>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</si>
  <si>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</si>
  <si>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</si>
  <si>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</si>
  <si>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</si>
  <si>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</si>
  <si>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</si>
  <si>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</si>
  <si>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</si>
  <si>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</si>
  <si>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</si>
  <si>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</si>
  <si>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</si>
  <si>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</si>
  <si>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</si>
  <si>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</si>
  <si>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</si>
  <si>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</si>
  <si>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</si>
  <si>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</si>
  <si>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</si>
  <si>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</si>
  <si>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</si>
  <si>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</si>
  <si>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</si>
  <si>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</si>
  <si>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</si>
  <si>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</si>
  <si>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</si>
  <si>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</si>
  <si>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</si>
  <si>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</si>
  <si>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</si>
  <si>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</si>
  <si>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</si>
  <si>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</si>
  <si>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</si>
  <si>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</si>
  <si>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</si>
  <si>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</si>
  <si>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</si>
  <si>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</si>
  <si>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</si>
  <si>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</si>
  <si>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</si>
  <si>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</si>
  <si>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</si>
  <si>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</si>
  <si>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</si>
  <si>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</si>
  <si>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</si>
  <si>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</si>
  <si>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</si>
  <si>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</si>
  <si>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</si>
  <si>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</si>
  <si>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</si>
  <si>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</si>
  <si>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</si>
  <si>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</si>
  <si>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</si>
  <si>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</si>
  <si>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</si>
  <si>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</si>
  <si>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</si>
  <si>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</si>
  <si>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</si>
  <si>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</si>
  <si>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</si>
  <si>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</si>
  <si>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</si>
  <si>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</si>
  <si>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</si>
  <si>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</si>
  <si>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</si>
  <si>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</si>
  <si>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</si>
  <si>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</si>
  <si>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</si>
  <si>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</si>
  <si>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</si>
  <si>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</si>
  <si>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</si>
  <si>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</si>
  <si>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</si>
  <si>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</si>
  <si>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</si>
  <si>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</si>
  <si>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</si>
  <si>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</si>
  <si>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</si>
  <si>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</si>
  <si>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</si>
  <si>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</si>
  <si>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</si>
  <si>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</si>
  <si>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</si>
  <si>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</si>
  <si>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</si>
  <si>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</si>
  <si>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</si>
  <si>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</si>
  <si>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</si>
  <si>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</si>
  <si>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</si>
  <si>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</si>
  <si>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</si>
  <si>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</si>
  <si>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</si>
  <si>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</si>
  <si>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</si>
  <si>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</si>
  <si>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</si>
  <si>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</si>
  <si>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</si>
  <si>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</si>
  <si>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</si>
  <si>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</si>
  <si>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</si>
  <si>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</si>
  <si>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</si>
  <si>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</si>
  <si>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</si>
  <si>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</si>
  <si>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</si>
  <si>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</si>
  <si>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</si>
  <si>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</si>
  <si>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</si>
  <si>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</si>
  <si>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</si>
  <si>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</si>
  <si>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</si>
  <si>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</si>
  <si>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</si>
  <si>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</si>
  <si>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</si>
  <si>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</si>
  <si>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</si>
  <si>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</si>
  <si>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</si>
  <si>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</si>
  <si>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</si>
  <si>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</si>
  <si>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</si>
  <si>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</si>
  <si>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</si>
  <si>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</si>
  <si>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</si>
  <si>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</si>
  <si>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</si>
  <si>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</si>
  <si>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</si>
  <si>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</si>
  <si>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</si>
  <si>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</si>
  <si>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</si>
  <si>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</si>
  <si>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</si>
  <si>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</si>
  <si>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</si>
  <si>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</si>
  <si>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</si>
  <si>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</si>
  <si>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</si>
  <si>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</si>
  <si>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</si>
  <si>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</si>
  <si>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</si>
  <si>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</si>
  <si>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</si>
  <si>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</si>
  <si>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</si>
  <si>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</si>
  <si>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</si>
  <si>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</si>
  <si>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</si>
  <si>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</si>
  <si>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</si>
  <si>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</si>
  <si>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</si>
  <si>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</si>
  <si>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</si>
  <si>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</si>
  <si>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</si>
  <si>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</si>
  <si>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</si>
  <si>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</si>
  <si>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</si>
  <si>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</si>
  <si>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</si>
  <si>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</si>
  <si>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</si>
  <si>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</si>
  <si>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</si>
  <si>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</si>
  <si>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</si>
  <si>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</si>
  <si>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</si>
  <si>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</si>
  <si>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</si>
  <si>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</si>
  <si>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</si>
  <si>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</si>
  <si>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</si>
  <si>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</si>
  <si>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</si>
  <si>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</si>
  <si>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</si>
  <si>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</si>
  <si>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</si>
  <si>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</si>
  <si>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</si>
  <si>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</si>
  <si>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</si>
  <si>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</si>
  <si>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</si>
  <si>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</si>
  <si>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</si>
  <si>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</si>
  <si>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</si>
  <si>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</si>
  <si>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</si>
  <si>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</si>
  <si>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</si>
  <si>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</si>
  <si>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</si>
  <si>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</si>
  <si>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</si>
  <si>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</si>
  <si>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</si>
  <si>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</si>
  <si>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</si>
  <si>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</si>
  <si>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</si>
  <si>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</si>
  <si>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</si>
  <si>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</si>
  <si>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</si>
  <si>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</si>
  <si>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</si>
  <si>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</si>
  <si>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</si>
  <si>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</si>
  <si>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</si>
  <si>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</si>
  <si>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</si>
  <si>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</si>
  <si>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</si>
  <si>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</si>
  <si>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</si>
  <si>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</si>
  <si>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</si>
  <si>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</si>
  <si>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</si>
  <si>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</si>
  <si>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</si>
  <si>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</si>
  <si>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</si>
  <si>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</si>
  <si>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</si>
  <si>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</si>
  <si>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</si>
  <si>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</si>
  <si>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</si>
  <si>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</si>
  <si>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</si>
  <si>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</si>
  <si>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</si>
  <si>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</si>
  <si>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</si>
  <si>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</si>
  <si>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</si>
  <si>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</si>
  <si>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</si>
  <si>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</si>
  <si>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</si>
  <si>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</si>
  <si>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</si>
  <si>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</si>
  <si>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</si>
  <si>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</si>
  <si>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</si>
  <si>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</si>
  <si>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</si>
  <si>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</si>
  <si>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</si>
  <si>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</si>
  <si>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</si>
  <si>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</si>
  <si>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</si>
  <si>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</si>
  <si>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</si>
  <si>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</si>
  <si>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</si>
  <si>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</si>
  <si>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</si>
  <si>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</si>
  <si>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</si>
  <si>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</si>
  <si>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</si>
  <si>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</si>
  <si>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</si>
  <si>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</si>
  <si>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</si>
  <si>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</si>
  <si>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</si>
  <si>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</si>
  <si>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</si>
  <si>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</si>
  <si>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</si>
  <si>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</si>
  <si>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</si>
  <si>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</si>
  <si>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</si>
  <si>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</si>
  <si>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</si>
  <si>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</si>
  <si>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</si>
  <si>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</si>
  <si>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</si>
  <si>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</si>
  <si>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</si>
  <si>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</si>
  <si>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</si>
  <si>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</si>
  <si>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</si>
  <si>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</si>
  <si>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</si>
  <si>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</si>
  <si>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</si>
  <si>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</si>
  <si>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</si>
  <si>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</si>
  <si>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</si>
  <si>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</si>
  <si>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</si>
  <si>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</si>
  <si>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</si>
  <si>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</si>
  <si>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</si>
  <si>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</si>
  <si>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</si>
  <si>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</si>
  <si>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</si>
  <si>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</si>
  <si>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</si>
  <si>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</si>
  <si>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</si>
  <si>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</si>
  <si>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</si>
  <si>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</si>
  <si>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</si>
  <si>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</si>
  <si>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</si>
  <si>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</si>
  <si>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</si>
  <si>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</si>
  <si>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</si>
  <si>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</si>
  <si>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</si>
  <si>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</si>
  <si>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</si>
  <si>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</si>
  <si>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</si>
  <si>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</si>
  <si>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</si>
  <si>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</si>
  <si>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</si>
  <si>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</si>
  <si>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</si>
  <si>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</si>
  <si>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</si>
  <si>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</si>
  <si>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</si>
  <si>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</si>
  <si>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</si>
  <si>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</si>
  <si>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</si>
  <si>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</si>
  <si>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</si>
  <si>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</si>
  <si>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</si>
  <si>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</si>
  <si>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</si>
  <si>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</si>
  <si>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</si>
  <si>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</si>
  <si>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</si>
  <si>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</si>
  <si>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</si>
  <si>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</si>
  <si>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</si>
  <si>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</si>
  <si>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</si>
  <si>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</si>
  <si>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</si>
  <si>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</si>
  <si>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</si>
  <si>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</si>
  <si>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</si>
  <si>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</si>
  <si>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</si>
  <si>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</si>
  <si>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</si>
  <si>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</si>
  <si>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</si>
  <si>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</si>
  <si>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</si>
  <si>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</si>
  <si>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</si>
  <si>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</si>
  <si>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</si>
  <si>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</si>
  <si>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</si>
  <si>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</si>
  <si>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</si>
  <si>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</si>
  <si>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</si>
  <si>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</si>
  <si>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</si>
  <si>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</si>
  <si>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</si>
  <si>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</si>
  <si>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</si>
  <si>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</si>
  <si>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</si>
  <si>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</si>
  <si>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</si>
  <si>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</si>
  <si>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</si>
  <si>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</si>
  <si>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</si>
  <si>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</si>
  <si>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</si>
  <si>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</si>
  <si>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</si>
  <si>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</si>
  <si>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</si>
  <si>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</si>
  <si>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</si>
  <si>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</si>
  <si>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</si>
  <si>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</si>
  <si>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</si>
  <si>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</si>
  <si>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</si>
  <si>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</si>
  <si>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</si>
  <si>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</si>
  <si>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</si>
  <si>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</si>
  <si>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</si>
  <si>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</si>
  <si>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</si>
  <si>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</si>
  <si>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</si>
  <si>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</si>
  <si>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</si>
  <si>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</si>
  <si>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</si>
  <si>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</si>
  <si>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</si>
  <si>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</si>
  <si>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</si>
  <si>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</si>
  <si>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</si>
  <si>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</si>
  <si>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</si>
  <si>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</si>
  <si>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</si>
  <si>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</si>
  <si>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</si>
  <si>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</si>
  <si>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</si>
  <si>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</si>
  <si>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</si>
  <si>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</si>
  <si>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</si>
  <si>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</si>
  <si>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</si>
  <si>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</si>
  <si>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</si>
  <si>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</si>
  <si>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</si>
  <si>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Date</t>
  </si>
  <si>
    <t>Product</t>
  </si>
  <si>
    <t>Category</t>
  </si>
  <si>
    <t>Quantity</t>
  </si>
  <si>
    <t>UnitPrice</t>
  </si>
  <si>
    <t>TotalSales</t>
  </si>
  <si>
    <t>Region</t>
  </si>
  <si>
    <t>Dark Chocolate Bar</t>
  </si>
  <si>
    <t>Bars</t>
  </si>
  <si>
    <t>North</t>
  </si>
  <si>
    <t>Milk Chocolate Bar</t>
  </si>
  <si>
    <t>South</t>
  </si>
  <si>
    <t>White Chocolate Raspberry</t>
  </si>
  <si>
    <t>East</t>
  </si>
  <si>
    <t>Assorted Truffles Box</t>
  </si>
  <si>
    <t>Boxes</t>
  </si>
  <si>
    <t>West</t>
  </si>
  <si>
    <t>Caramel Sea Salt Squares</t>
  </si>
  <si>
    <t>Candies</t>
  </si>
  <si>
    <t>Hazelnut Praline</t>
  </si>
  <si>
    <t>Mint Chocolate Coin</t>
  </si>
  <si>
    <t>Almond Bark</t>
  </si>
  <si>
    <t>Barks</t>
  </si>
  <si>
    <t>Sum of UnitPrice</t>
  </si>
  <si>
    <t>Grand Total</t>
  </si>
  <si>
    <t>Statiscs</t>
  </si>
  <si>
    <t>Result</t>
  </si>
  <si>
    <t>sum</t>
  </si>
  <si>
    <t>mean</t>
  </si>
  <si>
    <t>median</t>
  </si>
  <si>
    <t>mode</t>
  </si>
  <si>
    <t>standard deviation</t>
  </si>
  <si>
    <t>count</t>
  </si>
  <si>
    <t>Forecast(Result)</t>
  </si>
  <si>
    <t>Lower Confidence Bound(Result)</t>
  </si>
  <si>
    <t>Upper Confidence Bound(Result)</t>
  </si>
  <si>
    <t>Row Labels</t>
  </si>
  <si>
    <t>Column Labels</t>
  </si>
  <si>
    <t>2025</t>
  </si>
  <si>
    <t>2026</t>
  </si>
  <si>
    <t>Sum of TotalSales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</si>
</sst>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0" fillId="0" borderId="0" xfId="0" pivotButton="1"/>
    <xf numFmtId="14" fontId="0" fillId="0" borderId="0" xfId="0" applyNumberFormat="1"/>
    <xf numFmtId="0" fontId="1" fillId="0" borderId="2" xfId="0" applyFont="1" applyBorder="1" applyAlignment="1">
      <alignment wrapText="1"/>
    </xf>
    <xf numFmtId="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Table" Target="pivotTables/pivotTabl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Result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Sheet4!$B$2:$B$9</c:f>
              <c:numCache>
                <c:formatCode>General</c:formatCode>
                <c:ptCount val="8"/>
                <c:pt idx="0">
                  <c:v>45946.5</c:v>
                </c:pt>
                <c:pt idx="1">
                  <c:v>92.077154308617239</c:v>
                </c:pt>
                <c:pt idx="2">
                  <c:v>80</c:v>
                </c:pt>
                <c:pt idx="3">
                  <c:v>60</c:v>
                </c:pt>
                <c:pt idx="4">
                  <c:v>-0.58886724137931046</c:v>
                </c:pt>
                <c:pt idx="5">
                  <c:v>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0A-4C17-BF8B-D1643A18648E}"/>
            </c:ext>
          </c:extLst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Forecast(Result)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Sheet4!$A$2:$A$9</c:f>
              <c:numCache>
                <c:formatCode>m/d/yyyy</c:formatCode>
                <c:ptCount val="8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</c:numCache>
            </c:numRef>
          </c:cat>
          <c:val>
            <c:numRef>
              <c:f>Sheet4!$C$2:$C$9</c:f>
              <c:numCache>
                <c:formatCode>General</c:formatCode>
                <c:ptCount val="8"/>
                <c:pt idx="5">
                  <c:v>499</c:v>
                </c:pt>
                <c:pt idx="6">
                  <c:v>-4195.8952391091752</c:v>
                </c:pt>
                <c:pt idx="7">
                  <c:v>-8376.7559154946375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0A-4C17-BF8B-D1643A18648E}"/>
            </c:ext>
          </c:extLst>
        </c:ser>
        <c:ser>
          <c:idx val="2"/>
          <c:order val="2"/>
          <c:tx>
            <c:strRef>
              <c:f>Sheet4!$D$1</c:f>
              <c:strCache>
                <c:ptCount val="1"/>
                <c:pt idx="0">
                  <c:v>Lower Confidence Bound(Result)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Sheet4!$A$2:$A$9</c:f>
              <c:numCache>
                <c:formatCode>m/d/yyyy</c:formatCode>
                <c:ptCount val="8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</c:numCache>
            </c:numRef>
          </c:cat>
          <c:val>
            <c:numRef>
              <c:f>Sheet4!$D$2:$D$9</c:f>
              <c:numCache>
                <c:formatCode>General</c:formatCode>
                <c:ptCount val="8"/>
                <c:pt idx="5" formatCode="0.00">
                  <c:v>499</c:v>
                </c:pt>
                <c:pt idx="6" formatCode="0.00">
                  <c:v>-38176.90857385406</c:v>
                </c:pt>
                <c:pt idx="7" formatCode="0.00">
                  <c:v>-54116.272803235013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0A-4C17-BF8B-D1643A18648E}"/>
            </c:ext>
          </c:extLst>
        </c:ser>
        <c:ser>
          <c:idx val="3"/>
          <c:order val="3"/>
          <c:tx>
            <c:strRef>
              <c:f>Sheet4!$E$1</c:f>
              <c:strCache>
                <c:ptCount val="1"/>
                <c:pt idx="0">
                  <c:v>Upper Confidence Bound(Result)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Sheet4!$A$2:$A$9</c:f>
              <c:numCache>
                <c:formatCode>m/d/yyyy</c:formatCode>
                <c:ptCount val="8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</c:numCache>
            </c:numRef>
          </c:cat>
          <c:val>
            <c:numRef>
              <c:f>Sheet4!$E$2:$E$9</c:f>
              <c:numCache>
                <c:formatCode>General</c:formatCode>
                <c:ptCount val="8"/>
                <c:pt idx="5" formatCode="0.00">
                  <c:v>499</c:v>
                </c:pt>
                <c:pt idx="6" formatCode="0.00">
                  <c:v>29785.118095635713</c:v>
                </c:pt>
                <c:pt idx="7" formatCode="0.00">
                  <c:v>37362.760972245742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0A-4C17-BF8B-D1643A186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0354480"/>
        <c:axId val="440338160"/>
      </c:lineChart>
      <c:catAx>
        <c:axId val="44035448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338160"/>
        <c:crosses val="autoZero"/>
        <c:auto val="1"/>
        <c:lblAlgn val="ctr"/>
        <c:lblOffset val="100"/>
        <c:noMultiLvlLbl val="0"/>
      </c:catAx>
      <c:valAx>
        <c:axId val="44033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35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[dsprojectdataset.xlsx]pivot 1!PivotTable1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9585798816568046E-2"/>
          <c:y val="0.41772871174608328"/>
          <c:w val="0.60375711172198154"/>
          <c:h val="0.57691371052845197"/>
        </c:manualLayout>
      </c:layout>
      <c:pie3DChart>
        <c:varyColors val="1"/>
        <c:ser>
          <c:idx val="0"/>
          <c:order val="0"/>
          <c:tx>
            <c:strRef>
              <c:f>'pivot 1'!$B$3:$B$6</c:f>
              <c:strCache>
                <c:ptCount val="1"/>
                <c:pt idx="0">
                  <c:v>2025</c:v>
                </c:pt>
              </c:strCache>
            </c:strRef>
          </c:tx>
          <c:explosion val="5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D86-466A-96F9-7E464984B5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D86-466A-96F9-7E464984B5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D86-466A-96F9-7E464984B59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D86-466A-96F9-7E464984B59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D86-466A-96F9-7E464984B59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D86-466A-96F9-7E464984B59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D86-466A-96F9-7E464984B59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D86-466A-96F9-7E464984B596}"/>
              </c:ext>
            </c:extLst>
          </c:dPt>
          <c:cat>
            <c:strRef>
              <c:f>'pivot 1'!$A$7:$A$15</c:f>
              <c:strCache>
                <c:ptCount val="8"/>
                <c:pt idx="0">
                  <c:v>Almond Bark</c:v>
                </c:pt>
                <c:pt idx="1">
                  <c:v>Assorted Truffles Box</c:v>
                </c:pt>
                <c:pt idx="2">
                  <c:v>Caramel Sea Salt Squares</c:v>
                </c:pt>
                <c:pt idx="3">
                  <c:v>Dark Chocolate Bar</c:v>
                </c:pt>
                <c:pt idx="4">
                  <c:v>Hazelnut Praline</c:v>
                </c:pt>
                <c:pt idx="5">
                  <c:v>Milk Chocolate Bar</c:v>
                </c:pt>
                <c:pt idx="6">
                  <c:v>Mint Chocolate Coin</c:v>
                </c:pt>
                <c:pt idx="7">
                  <c:v>White Chocolate Raspberry</c:v>
                </c:pt>
              </c:strCache>
            </c:strRef>
          </c:cat>
          <c:val>
            <c:numRef>
              <c:f>'pivot 1'!$B$7:$B$15</c:f>
              <c:numCache>
                <c:formatCode>General</c:formatCode>
                <c:ptCount val="8"/>
                <c:pt idx="0">
                  <c:v>3510</c:v>
                </c:pt>
                <c:pt idx="1">
                  <c:v>5960</c:v>
                </c:pt>
                <c:pt idx="2">
                  <c:v>3532.5</c:v>
                </c:pt>
                <c:pt idx="3">
                  <c:v>2850</c:v>
                </c:pt>
                <c:pt idx="4">
                  <c:v>7254</c:v>
                </c:pt>
                <c:pt idx="5">
                  <c:v>3624</c:v>
                </c:pt>
                <c:pt idx="6">
                  <c:v>2855</c:v>
                </c:pt>
                <c:pt idx="7">
                  <c:v>2788.5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86-436E-B4EA-84B83E56CC46}"/>
            </c:ext>
          </c:extLst>
        </c:ser>
        <c:ser>
          <c:idx val="1"/>
          <c:order val="1"/>
          <c:tx>
            <c:strRef>
              <c:f>'pivot 1'!$C$3:$C$6</c:f>
              <c:strCache>
                <c:ptCount val="1"/>
                <c:pt idx="0">
                  <c:v>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D86-466A-96F9-7E464984B5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D86-466A-96F9-7E464984B5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D86-466A-96F9-7E464984B59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D86-466A-96F9-7E464984B59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2D86-466A-96F9-7E464984B59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2D86-466A-96F9-7E464984B59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2D86-466A-96F9-7E464984B59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2D86-466A-96F9-7E464984B596}"/>
              </c:ext>
            </c:extLst>
          </c:dPt>
          <c:cat>
            <c:strRef>
              <c:f>'pivot 1'!$A$7:$A$15</c:f>
              <c:strCache>
                <c:ptCount val="8"/>
                <c:pt idx="0">
                  <c:v>Almond Bark</c:v>
                </c:pt>
                <c:pt idx="1">
                  <c:v>Assorted Truffles Box</c:v>
                </c:pt>
                <c:pt idx="2">
                  <c:v>Caramel Sea Salt Squares</c:v>
                </c:pt>
                <c:pt idx="3">
                  <c:v>Dark Chocolate Bar</c:v>
                </c:pt>
                <c:pt idx="4">
                  <c:v>Hazelnut Praline</c:v>
                </c:pt>
                <c:pt idx="5">
                  <c:v>Milk Chocolate Bar</c:v>
                </c:pt>
                <c:pt idx="6">
                  <c:v>Mint Chocolate Coin</c:v>
                </c:pt>
                <c:pt idx="7">
                  <c:v>White Chocolate Raspberry</c:v>
                </c:pt>
              </c:strCache>
            </c:strRef>
          </c:cat>
          <c:val>
            <c:numRef>
              <c:f>'pivot 1'!$C$7:$C$15</c:f>
              <c:numCache>
                <c:formatCode>General</c:formatCode>
                <c:ptCount val="8"/>
                <c:pt idx="0">
                  <c:v>1398</c:v>
                </c:pt>
                <c:pt idx="1">
                  <c:v>2680</c:v>
                </c:pt>
                <c:pt idx="2">
                  <c:v>1392.5</c:v>
                </c:pt>
                <c:pt idx="3">
                  <c:v>1280</c:v>
                </c:pt>
                <c:pt idx="4">
                  <c:v>3042</c:v>
                </c:pt>
                <c:pt idx="5">
                  <c:v>1532</c:v>
                </c:pt>
                <c:pt idx="6">
                  <c:v>1060</c:v>
                </c:pt>
                <c:pt idx="7">
                  <c:v>1188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86-436E-B4EA-84B83E56C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UnitPrice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Almond Bark</c:v>
              </c:pt>
              <c:pt idx="1">
                <c:v>Assorted Truffles Box</c:v>
              </c:pt>
              <c:pt idx="2">
                <c:v>Caramel Sea Salt Squares</c:v>
              </c:pt>
              <c:pt idx="3">
                <c:v>Dark Chocolate Bar</c:v>
              </c:pt>
              <c:pt idx="4">
                <c:v>Hazelnut Praline</c:v>
              </c:pt>
              <c:pt idx="5">
                <c:v>Milk Chocolate Bar</c:v>
              </c:pt>
              <c:pt idx="6">
                <c:v>Mint Chocolate Coin</c:v>
              </c:pt>
              <c:pt idx="7">
                <c:v>White Chocolate Raspberry</c:v>
              </c:pt>
            </c:strLit>
          </c:cat>
          <c:val>
            <c:numLit>
              <c:formatCode>General</c:formatCode>
              <c:ptCount val="8"/>
              <c:pt idx="0">
                <c:v>372</c:v>
              </c:pt>
              <c:pt idx="1">
                <c:v>1260</c:v>
              </c:pt>
              <c:pt idx="2">
                <c:v>155</c:v>
              </c:pt>
              <c:pt idx="3">
                <c:v>315</c:v>
              </c:pt>
              <c:pt idx="4">
                <c:v>1116</c:v>
              </c:pt>
              <c:pt idx="5">
                <c:v>252</c:v>
              </c:pt>
              <c:pt idx="6">
                <c:v>62</c:v>
              </c:pt>
              <c:pt idx="7">
                <c:v>346.5</c:v>
              </c:pt>
            </c:numLit>
          </c:val>
          <c:extLst>
            <c:ext xmlns:c16="http://schemas.microsoft.com/office/drawing/2014/chart" uri="{C3380CC4-5D6E-409C-BE32-E72D297353CC}">
              <c16:uniqueId val="{00000000-6D27-405F-9387-875D7A09F6EB}"/>
            </c:ext>
          </c:extLst>
        </c:ser>
        <c:ser>
          <c:idx val="1"/>
          <c:order val="1"/>
          <c:tx>
            <c:v>Sum of TotalSales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Almond Bark</c:v>
              </c:pt>
              <c:pt idx="1">
                <c:v>Assorted Truffles Box</c:v>
              </c:pt>
              <c:pt idx="2">
                <c:v>Caramel Sea Salt Squares</c:v>
              </c:pt>
              <c:pt idx="3">
                <c:v>Dark Chocolate Bar</c:v>
              </c:pt>
              <c:pt idx="4">
                <c:v>Hazelnut Praline</c:v>
              </c:pt>
              <c:pt idx="5">
                <c:v>Milk Chocolate Bar</c:v>
              </c:pt>
              <c:pt idx="6">
                <c:v>Mint Chocolate Coin</c:v>
              </c:pt>
              <c:pt idx="7">
                <c:v>White Chocolate Raspberry</c:v>
              </c:pt>
            </c:strLit>
          </c:cat>
          <c:val>
            <c:numLit>
              <c:formatCode>General</c:formatCode>
              <c:ptCount val="8"/>
              <c:pt idx="0">
                <c:v>4908</c:v>
              </c:pt>
              <c:pt idx="1">
                <c:v>8640</c:v>
              </c:pt>
              <c:pt idx="2">
                <c:v>4925</c:v>
              </c:pt>
              <c:pt idx="3">
                <c:v>4130</c:v>
              </c:pt>
              <c:pt idx="4">
                <c:v>10296</c:v>
              </c:pt>
              <c:pt idx="5">
                <c:v>5156</c:v>
              </c:pt>
              <c:pt idx="6">
                <c:v>3915</c:v>
              </c:pt>
              <c:pt idx="7">
                <c:v>3976.5</c:v>
              </c:pt>
            </c:numLit>
          </c:val>
          <c:extLst>
            <c:ext xmlns:c16="http://schemas.microsoft.com/office/drawing/2014/chart" uri="{C3380CC4-5D6E-409C-BE32-E72D297353CC}">
              <c16:uniqueId val="{00000002-6D27-405F-9387-875D7A09F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9934272"/>
        <c:axId val="1209932832"/>
      </c:barChart>
      <c:catAx>
        <c:axId val="12099342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932832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20993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934272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[dsprojectdataset.xlsx]PivotChartTable1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[dsprojectdataset.xlsx]Sheet3!PivotTable1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DD5A13"/>
                </a:solidFill>
              </a:rPr>
              <a:t>UnitPrice</a:t>
            </a:r>
            <a:r>
              <a:rPr lang="en-US"/>
              <a:t> shows a repeating pattern.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Sheet3!$A$3:$A$503</c:f>
              <c:strCache>
                <c:ptCount val="500"/>
                <c:pt idx="0">
                  <c:v>01-01-2025</c:v>
                </c:pt>
                <c:pt idx="1">
                  <c:v>02-01-2025</c:v>
                </c:pt>
                <c:pt idx="2">
                  <c:v>03-01-2025</c:v>
                </c:pt>
                <c:pt idx="3">
                  <c:v>04-01-2025</c:v>
                </c:pt>
                <c:pt idx="4">
                  <c:v>05-01-2025</c:v>
                </c:pt>
                <c:pt idx="5">
                  <c:v>06-01-2025</c:v>
                </c:pt>
                <c:pt idx="6">
                  <c:v>07-01-2025</c:v>
                </c:pt>
                <c:pt idx="7">
                  <c:v>08-01-2025</c:v>
                </c:pt>
                <c:pt idx="8">
                  <c:v>09-01-2025</c:v>
                </c:pt>
                <c:pt idx="9">
                  <c:v>10-01-2025</c:v>
                </c:pt>
                <c:pt idx="10">
                  <c:v>11-01-2025</c:v>
                </c:pt>
                <c:pt idx="11">
                  <c:v>12-01-2025</c:v>
                </c:pt>
                <c:pt idx="12">
                  <c:v>13-01-2025</c:v>
                </c:pt>
                <c:pt idx="13">
                  <c:v>14-01-2025</c:v>
                </c:pt>
                <c:pt idx="14">
                  <c:v>15-01-2025</c:v>
                </c:pt>
                <c:pt idx="15">
                  <c:v>16-01-2025</c:v>
                </c:pt>
                <c:pt idx="16">
                  <c:v>17-01-2025</c:v>
                </c:pt>
                <c:pt idx="17">
                  <c:v>18-01-2025</c:v>
                </c:pt>
                <c:pt idx="18">
                  <c:v>19-01-2025</c:v>
                </c:pt>
                <c:pt idx="19">
                  <c:v>20-01-2025</c:v>
                </c:pt>
                <c:pt idx="20">
                  <c:v>21-01-2025</c:v>
                </c:pt>
                <c:pt idx="21">
                  <c:v>22-01-2025</c:v>
                </c:pt>
                <c:pt idx="22">
                  <c:v>23-01-2025</c:v>
                </c:pt>
                <c:pt idx="23">
                  <c:v>24-01-2025</c:v>
                </c:pt>
                <c:pt idx="24">
                  <c:v>25-01-2025</c:v>
                </c:pt>
                <c:pt idx="25">
                  <c:v>26-01-2025</c:v>
                </c:pt>
                <c:pt idx="26">
                  <c:v>27-01-2025</c:v>
                </c:pt>
                <c:pt idx="27">
                  <c:v>28-01-2025</c:v>
                </c:pt>
                <c:pt idx="28">
                  <c:v>29-01-2025</c:v>
                </c:pt>
                <c:pt idx="29">
                  <c:v>30-01-2025</c:v>
                </c:pt>
                <c:pt idx="30">
                  <c:v>31-01-2025</c:v>
                </c:pt>
                <c:pt idx="31">
                  <c:v>01-02-2025</c:v>
                </c:pt>
                <c:pt idx="32">
                  <c:v>02-02-2025</c:v>
                </c:pt>
                <c:pt idx="33">
                  <c:v>03-02-2025</c:v>
                </c:pt>
                <c:pt idx="34">
                  <c:v>04-02-2025</c:v>
                </c:pt>
                <c:pt idx="35">
                  <c:v>05-02-2025</c:v>
                </c:pt>
                <c:pt idx="36">
                  <c:v>06-02-2025</c:v>
                </c:pt>
                <c:pt idx="37">
                  <c:v>07-02-2025</c:v>
                </c:pt>
                <c:pt idx="38">
                  <c:v>08-02-2025</c:v>
                </c:pt>
                <c:pt idx="39">
                  <c:v>09-02-2025</c:v>
                </c:pt>
                <c:pt idx="40">
                  <c:v>10-02-2025</c:v>
                </c:pt>
                <c:pt idx="41">
                  <c:v>11-02-2025</c:v>
                </c:pt>
                <c:pt idx="42">
                  <c:v>12-02-2025</c:v>
                </c:pt>
                <c:pt idx="43">
                  <c:v>13-02-2025</c:v>
                </c:pt>
                <c:pt idx="44">
                  <c:v>14-02-2025</c:v>
                </c:pt>
                <c:pt idx="45">
                  <c:v>15-02-2025</c:v>
                </c:pt>
                <c:pt idx="46">
                  <c:v>16-02-2025</c:v>
                </c:pt>
                <c:pt idx="47">
                  <c:v>17-02-2025</c:v>
                </c:pt>
                <c:pt idx="48">
                  <c:v>18-02-2025</c:v>
                </c:pt>
                <c:pt idx="49">
                  <c:v>19-02-2025</c:v>
                </c:pt>
                <c:pt idx="50">
                  <c:v>20-02-2025</c:v>
                </c:pt>
                <c:pt idx="51">
                  <c:v>21-02-2025</c:v>
                </c:pt>
                <c:pt idx="52">
                  <c:v>22-02-2025</c:v>
                </c:pt>
                <c:pt idx="53">
                  <c:v>23-02-2025</c:v>
                </c:pt>
                <c:pt idx="54">
                  <c:v>24-02-2025</c:v>
                </c:pt>
                <c:pt idx="55">
                  <c:v>25-02-2025</c:v>
                </c:pt>
                <c:pt idx="56">
                  <c:v>26-02-2025</c:v>
                </c:pt>
                <c:pt idx="57">
                  <c:v>27-02-2025</c:v>
                </c:pt>
                <c:pt idx="58">
                  <c:v>28-02-2025</c:v>
                </c:pt>
                <c:pt idx="59">
                  <c:v>01-03-2025</c:v>
                </c:pt>
                <c:pt idx="60">
                  <c:v>02-03-2025</c:v>
                </c:pt>
                <c:pt idx="61">
                  <c:v>03-03-2025</c:v>
                </c:pt>
                <c:pt idx="62">
                  <c:v>04-03-2025</c:v>
                </c:pt>
                <c:pt idx="63">
                  <c:v>05-03-2025</c:v>
                </c:pt>
                <c:pt idx="64">
                  <c:v>06-03-2025</c:v>
                </c:pt>
                <c:pt idx="65">
                  <c:v>07-03-2025</c:v>
                </c:pt>
                <c:pt idx="66">
                  <c:v>08-03-2025</c:v>
                </c:pt>
                <c:pt idx="67">
                  <c:v>09-03-2025</c:v>
                </c:pt>
                <c:pt idx="68">
                  <c:v>10-03-2025</c:v>
                </c:pt>
                <c:pt idx="69">
                  <c:v>11-03-2025</c:v>
                </c:pt>
                <c:pt idx="70">
                  <c:v>12-03-2025</c:v>
                </c:pt>
                <c:pt idx="71">
                  <c:v>13-03-2025</c:v>
                </c:pt>
                <c:pt idx="72">
                  <c:v>14-03-2025</c:v>
                </c:pt>
                <c:pt idx="73">
                  <c:v>15-03-2025</c:v>
                </c:pt>
                <c:pt idx="74">
                  <c:v>16-03-2025</c:v>
                </c:pt>
                <c:pt idx="75">
                  <c:v>17-03-2025</c:v>
                </c:pt>
                <c:pt idx="76">
                  <c:v>18-03-2025</c:v>
                </c:pt>
                <c:pt idx="77">
                  <c:v>19-03-2025</c:v>
                </c:pt>
                <c:pt idx="78">
                  <c:v>20-03-2025</c:v>
                </c:pt>
                <c:pt idx="79">
                  <c:v>21-03-2025</c:v>
                </c:pt>
                <c:pt idx="80">
                  <c:v>22-03-2025</c:v>
                </c:pt>
                <c:pt idx="81">
                  <c:v>23-03-2025</c:v>
                </c:pt>
                <c:pt idx="82">
                  <c:v>24-03-2025</c:v>
                </c:pt>
                <c:pt idx="83">
                  <c:v>25-03-2025</c:v>
                </c:pt>
                <c:pt idx="84">
                  <c:v>26-03-2025</c:v>
                </c:pt>
                <c:pt idx="85">
                  <c:v>27-03-2025</c:v>
                </c:pt>
                <c:pt idx="86">
                  <c:v>28-03-2025</c:v>
                </c:pt>
                <c:pt idx="87">
                  <c:v>29-03-2025</c:v>
                </c:pt>
                <c:pt idx="88">
                  <c:v>30-03-2025</c:v>
                </c:pt>
                <c:pt idx="89">
                  <c:v>31-03-2025</c:v>
                </c:pt>
                <c:pt idx="90">
                  <c:v>01-04-2025</c:v>
                </c:pt>
                <c:pt idx="91">
                  <c:v>02-04-2025</c:v>
                </c:pt>
                <c:pt idx="92">
                  <c:v>03-04-2025</c:v>
                </c:pt>
                <c:pt idx="93">
                  <c:v>04-04-2025</c:v>
                </c:pt>
                <c:pt idx="94">
                  <c:v>05-04-2025</c:v>
                </c:pt>
                <c:pt idx="95">
                  <c:v>06-04-2025</c:v>
                </c:pt>
                <c:pt idx="96">
                  <c:v>07-04-2025</c:v>
                </c:pt>
                <c:pt idx="97">
                  <c:v>08-04-2025</c:v>
                </c:pt>
                <c:pt idx="98">
                  <c:v>09-04-2025</c:v>
                </c:pt>
                <c:pt idx="99">
                  <c:v>10-04-2025</c:v>
                </c:pt>
                <c:pt idx="100">
                  <c:v>11-04-2025</c:v>
                </c:pt>
                <c:pt idx="101">
                  <c:v>12-04-2025</c:v>
                </c:pt>
                <c:pt idx="102">
                  <c:v>13-04-2025</c:v>
                </c:pt>
                <c:pt idx="103">
                  <c:v>14-04-2025</c:v>
                </c:pt>
                <c:pt idx="104">
                  <c:v>15-04-2025</c:v>
                </c:pt>
                <c:pt idx="105">
                  <c:v>16-04-2025</c:v>
                </c:pt>
                <c:pt idx="106">
                  <c:v>17-04-2025</c:v>
                </c:pt>
                <c:pt idx="107">
                  <c:v>18-04-2025</c:v>
                </c:pt>
                <c:pt idx="108">
                  <c:v>19-04-2025</c:v>
                </c:pt>
                <c:pt idx="109">
                  <c:v>20-04-2025</c:v>
                </c:pt>
                <c:pt idx="110">
                  <c:v>21-04-2025</c:v>
                </c:pt>
                <c:pt idx="111">
                  <c:v>22-04-2025</c:v>
                </c:pt>
                <c:pt idx="112">
                  <c:v>23-04-2025</c:v>
                </c:pt>
                <c:pt idx="113">
                  <c:v>24-04-2025</c:v>
                </c:pt>
                <c:pt idx="114">
                  <c:v>25-04-2025</c:v>
                </c:pt>
                <c:pt idx="115">
                  <c:v>26-04-2025</c:v>
                </c:pt>
                <c:pt idx="116">
                  <c:v>27-04-2025</c:v>
                </c:pt>
                <c:pt idx="117">
                  <c:v>28-04-2025</c:v>
                </c:pt>
                <c:pt idx="118">
                  <c:v>29-04-2025</c:v>
                </c:pt>
                <c:pt idx="119">
                  <c:v>30-04-2025</c:v>
                </c:pt>
                <c:pt idx="120">
                  <c:v>01-05-2025</c:v>
                </c:pt>
                <c:pt idx="121">
                  <c:v>02-05-2025</c:v>
                </c:pt>
                <c:pt idx="122">
                  <c:v>03-05-2025</c:v>
                </c:pt>
                <c:pt idx="123">
                  <c:v>04-05-2025</c:v>
                </c:pt>
                <c:pt idx="124">
                  <c:v>05-05-2025</c:v>
                </c:pt>
                <c:pt idx="125">
                  <c:v>06-05-2025</c:v>
                </c:pt>
                <c:pt idx="126">
                  <c:v>07-05-2025</c:v>
                </c:pt>
                <c:pt idx="127">
                  <c:v>08-05-2025</c:v>
                </c:pt>
                <c:pt idx="128">
                  <c:v>09-05-2025</c:v>
                </c:pt>
                <c:pt idx="129">
                  <c:v>10-05-2025</c:v>
                </c:pt>
                <c:pt idx="130">
                  <c:v>11-05-2025</c:v>
                </c:pt>
                <c:pt idx="131">
                  <c:v>12-05-2025</c:v>
                </c:pt>
                <c:pt idx="132">
                  <c:v>13-05-2025</c:v>
                </c:pt>
                <c:pt idx="133">
                  <c:v>14-05-2025</c:v>
                </c:pt>
                <c:pt idx="134">
                  <c:v>15-05-2025</c:v>
                </c:pt>
                <c:pt idx="135">
                  <c:v>16-05-2025</c:v>
                </c:pt>
                <c:pt idx="136">
                  <c:v>17-05-2025</c:v>
                </c:pt>
                <c:pt idx="137">
                  <c:v>18-05-2025</c:v>
                </c:pt>
                <c:pt idx="138">
                  <c:v>19-05-2025</c:v>
                </c:pt>
                <c:pt idx="139">
                  <c:v>20-05-2025</c:v>
                </c:pt>
                <c:pt idx="140">
                  <c:v>21-05-2025</c:v>
                </c:pt>
                <c:pt idx="141">
                  <c:v>22-05-2025</c:v>
                </c:pt>
                <c:pt idx="142">
                  <c:v>23-05-2025</c:v>
                </c:pt>
                <c:pt idx="143">
                  <c:v>24-05-2025</c:v>
                </c:pt>
                <c:pt idx="144">
                  <c:v>25-05-2025</c:v>
                </c:pt>
                <c:pt idx="145">
                  <c:v>26-05-2025</c:v>
                </c:pt>
                <c:pt idx="146">
                  <c:v>27-05-2025</c:v>
                </c:pt>
                <c:pt idx="147">
                  <c:v>28-05-2025</c:v>
                </c:pt>
                <c:pt idx="148">
                  <c:v>29-05-2025</c:v>
                </c:pt>
                <c:pt idx="149">
                  <c:v>30-05-2025</c:v>
                </c:pt>
                <c:pt idx="150">
                  <c:v>31-05-2025</c:v>
                </c:pt>
                <c:pt idx="151">
                  <c:v>01-06-2025</c:v>
                </c:pt>
                <c:pt idx="152">
                  <c:v>02-06-2025</c:v>
                </c:pt>
                <c:pt idx="153">
                  <c:v>03-06-2025</c:v>
                </c:pt>
                <c:pt idx="154">
                  <c:v>04-06-2025</c:v>
                </c:pt>
                <c:pt idx="155">
                  <c:v>05-06-2025</c:v>
                </c:pt>
                <c:pt idx="156">
                  <c:v>06-06-2025</c:v>
                </c:pt>
                <c:pt idx="157">
                  <c:v>07-06-2025</c:v>
                </c:pt>
                <c:pt idx="158">
                  <c:v>08-06-2025</c:v>
                </c:pt>
                <c:pt idx="159">
                  <c:v>09-06-2025</c:v>
                </c:pt>
                <c:pt idx="160">
                  <c:v>10-06-2025</c:v>
                </c:pt>
                <c:pt idx="161">
                  <c:v>11-06-2025</c:v>
                </c:pt>
                <c:pt idx="162">
                  <c:v>12-06-2025</c:v>
                </c:pt>
                <c:pt idx="163">
                  <c:v>13-06-2025</c:v>
                </c:pt>
                <c:pt idx="164">
                  <c:v>14-06-2025</c:v>
                </c:pt>
                <c:pt idx="165">
                  <c:v>15-06-2025</c:v>
                </c:pt>
                <c:pt idx="166">
                  <c:v>16-06-2025</c:v>
                </c:pt>
                <c:pt idx="167">
                  <c:v>17-06-2025</c:v>
                </c:pt>
                <c:pt idx="168">
                  <c:v>18-06-2025</c:v>
                </c:pt>
                <c:pt idx="169">
                  <c:v>19-06-2025</c:v>
                </c:pt>
                <c:pt idx="170">
                  <c:v>20-06-2025</c:v>
                </c:pt>
                <c:pt idx="171">
                  <c:v>21-06-2025</c:v>
                </c:pt>
                <c:pt idx="172">
                  <c:v>22-06-2025</c:v>
                </c:pt>
                <c:pt idx="173">
                  <c:v>23-06-2025</c:v>
                </c:pt>
                <c:pt idx="174">
                  <c:v>24-06-2025</c:v>
                </c:pt>
                <c:pt idx="175">
                  <c:v>25-06-2025</c:v>
                </c:pt>
                <c:pt idx="176">
                  <c:v>26-06-2025</c:v>
                </c:pt>
                <c:pt idx="177">
                  <c:v>27-06-2025</c:v>
                </c:pt>
                <c:pt idx="178">
                  <c:v>28-06-2025</c:v>
                </c:pt>
                <c:pt idx="179">
                  <c:v>29-06-2025</c:v>
                </c:pt>
                <c:pt idx="180">
                  <c:v>30-06-2025</c:v>
                </c:pt>
                <c:pt idx="181">
                  <c:v>01-07-2025</c:v>
                </c:pt>
                <c:pt idx="182">
                  <c:v>02-07-2025</c:v>
                </c:pt>
                <c:pt idx="183">
                  <c:v>03-07-2025</c:v>
                </c:pt>
                <c:pt idx="184">
                  <c:v>04-07-2025</c:v>
                </c:pt>
                <c:pt idx="185">
                  <c:v>05-07-2025</c:v>
                </c:pt>
                <c:pt idx="186">
                  <c:v>06-07-2025</c:v>
                </c:pt>
                <c:pt idx="187">
                  <c:v>07-07-2025</c:v>
                </c:pt>
                <c:pt idx="188">
                  <c:v>08-07-2025</c:v>
                </c:pt>
                <c:pt idx="189">
                  <c:v>09-07-2025</c:v>
                </c:pt>
                <c:pt idx="190">
                  <c:v>10-07-2025</c:v>
                </c:pt>
                <c:pt idx="191">
                  <c:v>11-07-2025</c:v>
                </c:pt>
                <c:pt idx="192">
                  <c:v>12-07-2025</c:v>
                </c:pt>
                <c:pt idx="193">
                  <c:v>13-07-2025</c:v>
                </c:pt>
                <c:pt idx="194">
                  <c:v>14-07-2025</c:v>
                </c:pt>
                <c:pt idx="195">
                  <c:v>15-07-2025</c:v>
                </c:pt>
                <c:pt idx="196">
                  <c:v>16-07-2025</c:v>
                </c:pt>
                <c:pt idx="197">
                  <c:v>17-07-2025</c:v>
                </c:pt>
                <c:pt idx="198">
                  <c:v>18-07-2025</c:v>
                </c:pt>
                <c:pt idx="199">
                  <c:v>19-07-2025</c:v>
                </c:pt>
                <c:pt idx="200">
                  <c:v>20-07-2025</c:v>
                </c:pt>
                <c:pt idx="201">
                  <c:v>21-07-2025</c:v>
                </c:pt>
                <c:pt idx="202">
                  <c:v>22-07-2025</c:v>
                </c:pt>
                <c:pt idx="203">
                  <c:v>23-07-2025</c:v>
                </c:pt>
                <c:pt idx="204">
                  <c:v>24-07-2025</c:v>
                </c:pt>
                <c:pt idx="205">
                  <c:v>25-07-2025</c:v>
                </c:pt>
                <c:pt idx="206">
                  <c:v>26-07-2025</c:v>
                </c:pt>
                <c:pt idx="207">
                  <c:v>27-07-2025</c:v>
                </c:pt>
                <c:pt idx="208">
                  <c:v>28-07-2025</c:v>
                </c:pt>
                <c:pt idx="209">
                  <c:v>29-07-2025</c:v>
                </c:pt>
                <c:pt idx="210">
                  <c:v>30-07-2025</c:v>
                </c:pt>
                <c:pt idx="211">
                  <c:v>31-07-2025</c:v>
                </c:pt>
                <c:pt idx="212">
                  <c:v>01-08-2025</c:v>
                </c:pt>
                <c:pt idx="213">
                  <c:v>02-08-2025</c:v>
                </c:pt>
                <c:pt idx="214">
                  <c:v>03-08-2025</c:v>
                </c:pt>
                <c:pt idx="215">
                  <c:v>04-08-2025</c:v>
                </c:pt>
                <c:pt idx="216">
                  <c:v>05-08-2025</c:v>
                </c:pt>
                <c:pt idx="217">
                  <c:v>06-08-2025</c:v>
                </c:pt>
                <c:pt idx="218">
                  <c:v>07-08-2025</c:v>
                </c:pt>
                <c:pt idx="219">
                  <c:v>08-08-2025</c:v>
                </c:pt>
                <c:pt idx="220">
                  <c:v>09-08-2025</c:v>
                </c:pt>
                <c:pt idx="221">
                  <c:v>10-08-2025</c:v>
                </c:pt>
                <c:pt idx="222">
                  <c:v>11-08-2025</c:v>
                </c:pt>
                <c:pt idx="223">
                  <c:v>12-08-2025</c:v>
                </c:pt>
                <c:pt idx="224">
                  <c:v>13-08-2025</c:v>
                </c:pt>
                <c:pt idx="225">
                  <c:v>14-08-2025</c:v>
                </c:pt>
                <c:pt idx="226">
                  <c:v>15-08-2025</c:v>
                </c:pt>
                <c:pt idx="227">
                  <c:v>16-08-2025</c:v>
                </c:pt>
                <c:pt idx="228">
                  <c:v>17-08-2025</c:v>
                </c:pt>
                <c:pt idx="229">
                  <c:v>18-08-2025</c:v>
                </c:pt>
                <c:pt idx="230">
                  <c:v>19-08-2025</c:v>
                </c:pt>
                <c:pt idx="231">
                  <c:v>20-08-2025</c:v>
                </c:pt>
                <c:pt idx="232">
                  <c:v>21-08-2025</c:v>
                </c:pt>
                <c:pt idx="233">
                  <c:v>22-08-2025</c:v>
                </c:pt>
                <c:pt idx="234">
                  <c:v>23-08-2025</c:v>
                </c:pt>
                <c:pt idx="235">
                  <c:v>24-08-2025</c:v>
                </c:pt>
                <c:pt idx="236">
                  <c:v>25-08-2025</c:v>
                </c:pt>
                <c:pt idx="237">
                  <c:v>26-08-2025</c:v>
                </c:pt>
                <c:pt idx="238">
                  <c:v>27-08-2025</c:v>
                </c:pt>
                <c:pt idx="239">
                  <c:v>28-08-2025</c:v>
                </c:pt>
                <c:pt idx="240">
                  <c:v>29-08-2025</c:v>
                </c:pt>
                <c:pt idx="241">
                  <c:v>30-08-2025</c:v>
                </c:pt>
                <c:pt idx="242">
                  <c:v>31-08-2025</c:v>
                </c:pt>
                <c:pt idx="243">
                  <c:v>01-09-2025</c:v>
                </c:pt>
                <c:pt idx="244">
                  <c:v>02-09-2025</c:v>
                </c:pt>
                <c:pt idx="245">
                  <c:v>03-09-2025</c:v>
                </c:pt>
                <c:pt idx="246">
                  <c:v>04-09-2025</c:v>
                </c:pt>
                <c:pt idx="247">
                  <c:v>05-09-2025</c:v>
                </c:pt>
                <c:pt idx="248">
                  <c:v>06-09-2025</c:v>
                </c:pt>
                <c:pt idx="249">
                  <c:v>07-09-2025</c:v>
                </c:pt>
                <c:pt idx="250">
                  <c:v>08-09-2025</c:v>
                </c:pt>
                <c:pt idx="251">
                  <c:v>09-09-2025</c:v>
                </c:pt>
                <c:pt idx="252">
                  <c:v>10-09-2025</c:v>
                </c:pt>
                <c:pt idx="253">
                  <c:v>11-09-2025</c:v>
                </c:pt>
                <c:pt idx="254">
                  <c:v>12-09-2025</c:v>
                </c:pt>
                <c:pt idx="255">
                  <c:v>13-09-2025</c:v>
                </c:pt>
                <c:pt idx="256">
                  <c:v>14-09-2025</c:v>
                </c:pt>
                <c:pt idx="257">
                  <c:v>15-09-2025</c:v>
                </c:pt>
                <c:pt idx="258">
                  <c:v>16-09-2025</c:v>
                </c:pt>
                <c:pt idx="259">
                  <c:v>17-09-2025</c:v>
                </c:pt>
                <c:pt idx="260">
                  <c:v>18-09-2025</c:v>
                </c:pt>
                <c:pt idx="261">
                  <c:v>19-09-2025</c:v>
                </c:pt>
                <c:pt idx="262">
                  <c:v>20-09-2025</c:v>
                </c:pt>
                <c:pt idx="263">
                  <c:v>21-09-2025</c:v>
                </c:pt>
                <c:pt idx="264">
                  <c:v>22-09-2025</c:v>
                </c:pt>
                <c:pt idx="265">
                  <c:v>23-09-2025</c:v>
                </c:pt>
                <c:pt idx="266">
                  <c:v>24-09-2025</c:v>
                </c:pt>
                <c:pt idx="267">
                  <c:v>25-09-2025</c:v>
                </c:pt>
                <c:pt idx="268">
                  <c:v>26-09-2025</c:v>
                </c:pt>
                <c:pt idx="269">
                  <c:v>27-09-2025</c:v>
                </c:pt>
                <c:pt idx="270">
                  <c:v>28-09-2025</c:v>
                </c:pt>
                <c:pt idx="271">
                  <c:v>29-09-2025</c:v>
                </c:pt>
                <c:pt idx="272">
                  <c:v>30-09-2025</c:v>
                </c:pt>
                <c:pt idx="273">
                  <c:v>01-10-2025</c:v>
                </c:pt>
                <c:pt idx="274">
                  <c:v>02-10-2025</c:v>
                </c:pt>
                <c:pt idx="275">
                  <c:v>03-10-2025</c:v>
                </c:pt>
                <c:pt idx="276">
                  <c:v>04-10-2025</c:v>
                </c:pt>
                <c:pt idx="277">
                  <c:v>05-10-2025</c:v>
                </c:pt>
                <c:pt idx="278">
                  <c:v>06-10-2025</c:v>
                </c:pt>
                <c:pt idx="279">
                  <c:v>07-10-2025</c:v>
                </c:pt>
                <c:pt idx="280">
                  <c:v>08-10-2025</c:v>
                </c:pt>
                <c:pt idx="281">
                  <c:v>09-10-2025</c:v>
                </c:pt>
                <c:pt idx="282">
                  <c:v>10-10-2025</c:v>
                </c:pt>
                <c:pt idx="283">
                  <c:v>11-10-2025</c:v>
                </c:pt>
                <c:pt idx="284">
                  <c:v>12-10-2025</c:v>
                </c:pt>
                <c:pt idx="285">
                  <c:v>13-10-2025</c:v>
                </c:pt>
                <c:pt idx="286">
                  <c:v>14-10-2025</c:v>
                </c:pt>
                <c:pt idx="287">
                  <c:v>15-10-2025</c:v>
                </c:pt>
                <c:pt idx="288">
                  <c:v>16-10-2025</c:v>
                </c:pt>
                <c:pt idx="289">
                  <c:v>17-10-2025</c:v>
                </c:pt>
                <c:pt idx="290">
                  <c:v>18-10-2025</c:v>
                </c:pt>
                <c:pt idx="291">
                  <c:v>19-10-2025</c:v>
                </c:pt>
                <c:pt idx="292">
                  <c:v>20-10-2025</c:v>
                </c:pt>
                <c:pt idx="293">
                  <c:v>21-10-2025</c:v>
                </c:pt>
                <c:pt idx="294">
                  <c:v>22-10-2025</c:v>
                </c:pt>
                <c:pt idx="295">
                  <c:v>23-10-2025</c:v>
                </c:pt>
                <c:pt idx="296">
                  <c:v>24-10-2025</c:v>
                </c:pt>
                <c:pt idx="297">
                  <c:v>25-10-2025</c:v>
                </c:pt>
                <c:pt idx="298">
                  <c:v>26-10-2025</c:v>
                </c:pt>
                <c:pt idx="299">
                  <c:v>27-10-2025</c:v>
                </c:pt>
                <c:pt idx="300">
                  <c:v>28-10-2025</c:v>
                </c:pt>
                <c:pt idx="301">
                  <c:v>29-10-2025</c:v>
                </c:pt>
                <c:pt idx="302">
                  <c:v>30-10-2025</c:v>
                </c:pt>
                <c:pt idx="303">
                  <c:v>31-10-2025</c:v>
                </c:pt>
                <c:pt idx="304">
                  <c:v>01-11-2025</c:v>
                </c:pt>
                <c:pt idx="305">
                  <c:v>02-11-2025</c:v>
                </c:pt>
                <c:pt idx="306">
                  <c:v>03-11-2025</c:v>
                </c:pt>
                <c:pt idx="307">
                  <c:v>04-11-2025</c:v>
                </c:pt>
                <c:pt idx="308">
                  <c:v>05-11-2025</c:v>
                </c:pt>
                <c:pt idx="309">
                  <c:v>06-11-2025</c:v>
                </c:pt>
                <c:pt idx="310">
                  <c:v>07-11-2025</c:v>
                </c:pt>
                <c:pt idx="311">
                  <c:v>08-11-2025</c:v>
                </c:pt>
                <c:pt idx="312">
                  <c:v>09-11-2025</c:v>
                </c:pt>
                <c:pt idx="313">
                  <c:v>10-11-2025</c:v>
                </c:pt>
                <c:pt idx="314">
                  <c:v>11-11-2025</c:v>
                </c:pt>
                <c:pt idx="315">
                  <c:v>12-11-2025</c:v>
                </c:pt>
                <c:pt idx="316">
                  <c:v>13-11-2025</c:v>
                </c:pt>
                <c:pt idx="317">
                  <c:v>14-11-2025</c:v>
                </c:pt>
                <c:pt idx="318">
                  <c:v>15-11-2025</c:v>
                </c:pt>
                <c:pt idx="319">
                  <c:v>16-11-2025</c:v>
                </c:pt>
                <c:pt idx="320">
                  <c:v>17-11-2025</c:v>
                </c:pt>
                <c:pt idx="321">
                  <c:v>18-11-2025</c:v>
                </c:pt>
                <c:pt idx="322">
                  <c:v>19-11-2025</c:v>
                </c:pt>
                <c:pt idx="323">
                  <c:v>20-11-2025</c:v>
                </c:pt>
                <c:pt idx="324">
                  <c:v>21-11-2025</c:v>
                </c:pt>
                <c:pt idx="325">
                  <c:v>22-11-2025</c:v>
                </c:pt>
                <c:pt idx="326">
                  <c:v>23-11-2025</c:v>
                </c:pt>
                <c:pt idx="327">
                  <c:v>24-11-2025</c:v>
                </c:pt>
                <c:pt idx="328">
                  <c:v>25-11-2025</c:v>
                </c:pt>
                <c:pt idx="329">
                  <c:v>26-11-2025</c:v>
                </c:pt>
                <c:pt idx="330">
                  <c:v>27-11-2025</c:v>
                </c:pt>
                <c:pt idx="331">
                  <c:v>28-11-2025</c:v>
                </c:pt>
                <c:pt idx="332">
                  <c:v>29-11-2025</c:v>
                </c:pt>
                <c:pt idx="333">
                  <c:v>30-11-2025</c:v>
                </c:pt>
                <c:pt idx="334">
                  <c:v>01-12-2025</c:v>
                </c:pt>
                <c:pt idx="335">
                  <c:v>02-12-2025</c:v>
                </c:pt>
                <c:pt idx="336">
                  <c:v>03-12-2025</c:v>
                </c:pt>
                <c:pt idx="337">
                  <c:v>04-12-2025</c:v>
                </c:pt>
                <c:pt idx="338">
                  <c:v>05-12-2025</c:v>
                </c:pt>
                <c:pt idx="339">
                  <c:v>06-12-2025</c:v>
                </c:pt>
                <c:pt idx="340">
                  <c:v>07-12-2025</c:v>
                </c:pt>
                <c:pt idx="341">
                  <c:v>08-12-2025</c:v>
                </c:pt>
                <c:pt idx="342">
                  <c:v>09-12-2025</c:v>
                </c:pt>
                <c:pt idx="343">
                  <c:v>10-12-2025</c:v>
                </c:pt>
                <c:pt idx="344">
                  <c:v>11-12-2025</c:v>
                </c:pt>
                <c:pt idx="345">
                  <c:v>12-12-2025</c:v>
                </c:pt>
                <c:pt idx="346">
                  <c:v>13-12-2025</c:v>
                </c:pt>
                <c:pt idx="347">
                  <c:v>14-12-2025</c:v>
                </c:pt>
                <c:pt idx="348">
                  <c:v>15-12-2025</c:v>
                </c:pt>
                <c:pt idx="349">
                  <c:v>16-12-2025</c:v>
                </c:pt>
                <c:pt idx="350">
                  <c:v>17-12-2025</c:v>
                </c:pt>
                <c:pt idx="351">
                  <c:v>18-12-2025</c:v>
                </c:pt>
                <c:pt idx="352">
                  <c:v>19-12-2025</c:v>
                </c:pt>
                <c:pt idx="353">
                  <c:v>20-12-2025</c:v>
                </c:pt>
                <c:pt idx="354">
                  <c:v>21-12-2025</c:v>
                </c:pt>
                <c:pt idx="355">
                  <c:v>22-12-2025</c:v>
                </c:pt>
                <c:pt idx="356">
                  <c:v>23-12-2025</c:v>
                </c:pt>
                <c:pt idx="357">
                  <c:v>24-12-2025</c:v>
                </c:pt>
                <c:pt idx="358">
                  <c:v>25-12-2025</c:v>
                </c:pt>
                <c:pt idx="359">
                  <c:v>26-12-2025</c:v>
                </c:pt>
                <c:pt idx="360">
                  <c:v>27-12-2025</c:v>
                </c:pt>
                <c:pt idx="361">
                  <c:v>28-12-2025</c:v>
                </c:pt>
                <c:pt idx="362">
                  <c:v>29-12-2025</c:v>
                </c:pt>
                <c:pt idx="363">
                  <c:v>30-12-2025</c:v>
                </c:pt>
                <c:pt idx="364">
                  <c:v>31-12-2025</c:v>
                </c:pt>
                <c:pt idx="365">
                  <c:v>01-01-2026</c:v>
                </c:pt>
                <c:pt idx="366">
                  <c:v>02-01-2026</c:v>
                </c:pt>
                <c:pt idx="367">
                  <c:v>03-01-2026</c:v>
                </c:pt>
                <c:pt idx="368">
                  <c:v>04-01-2026</c:v>
                </c:pt>
                <c:pt idx="369">
                  <c:v>05-01-2026</c:v>
                </c:pt>
                <c:pt idx="370">
                  <c:v>06-01-2026</c:v>
                </c:pt>
                <c:pt idx="371">
                  <c:v>07-01-2026</c:v>
                </c:pt>
                <c:pt idx="372">
                  <c:v>08-01-2026</c:v>
                </c:pt>
                <c:pt idx="373">
                  <c:v>09-01-2026</c:v>
                </c:pt>
                <c:pt idx="374">
                  <c:v>10-01-2026</c:v>
                </c:pt>
                <c:pt idx="375">
                  <c:v>11-01-2026</c:v>
                </c:pt>
                <c:pt idx="376">
                  <c:v>12-01-2026</c:v>
                </c:pt>
                <c:pt idx="377">
                  <c:v>13-01-2026</c:v>
                </c:pt>
                <c:pt idx="378">
                  <c:v>14-01-2026</c:v>
                </c:pt>
                <c:pt idx="379">
                  <c:v>15-01-2026</c:v>
                </c:pt>
                <c:pt idx="380">
                  <c:v>16-01-2026</c:v>
                </c:pt>
                <c:pt idx="381">
                  <c:v>17-01-2026</c:v>
                </c:pt>
                <c:pt idx="382">
                  <c:v>18-01-2026</c:v>
                </c:pt>
                <c:pt idx="383">
                  <c:v>19-01-2026</c:v>
                </c:pt>
                <c:pt idx="384">
                  <c:v>20-01-2026</c:v>
                </c:pt>
                <c:pt idx="385">
                  <c:v>21-01-2026</c:v>
                </c:pt>
                <c:pt idx="386">
                  <c:v>22-01-2026</c:v>
                </c:pt>
                <c:pt idx="387">
                  <c:v>23-01-2026</c:v>
                </c:pt>
                <c:pt idx="388">
                  <c:v>24-01-2026</c:v>
                </c:pt>
                <c:pt idx="389">
                  <c:v>25-01-2026</c:v>
                </c:pt>
                <c:pt idx="390">
                  <c:v>26-01-2026</c:v>
                </c:pt>
                <c:pt idx="391">
                  <c:v>27-01-2026</c:v>
                </c:pt>
                <c:pt idx="392">
                  <c:v>28-01-2026</c:v>
                </c:pt>
                <c:pt idx="393">
                  <c:v>29-01-2026</c:v>
                </c:pt>
                <c:pt idx="394">
                  <c:v>30-01-2026</c:v>
                </c:pt>
                <c:pt idx="395">
                  <c:v>31-01-2026</c:v>
                </c:pt>
                <c:pt idx="396">
                  <c:v>01-02-2026</c:v>
                </c:pt>
                <c:pt idx="397">
                  <c:v>02-02-2026</c:v>
                </c:pt>
                <c:pt idx="398">
                  <c:v>03-02-2026</c:v>
                </c:pt>
                <c:pt idx="399">
                  <c:v>04-02-2026</c:v>
                </c:pt>
                <c:pt idx="400">
                  <c:v>05-02-2026</c:v>
                </c:pt>
                <c:pt idx="401">
                  <c:v>06-02-2026</c:v>
                </c:pt>
                <c:pt idx="402">
                  <c:v>07-02-2026</c:v>
                </c:pt>
                <c:pt idx="403">
                  <c:v>08-02-2026</c:v>
                </c:pt>
                <c:pt idx="404">
                  <c:v>09-02-2026</c:v>
                </c:pt>
                <c:pt idx="405">
                  <c:v>10-02-2026</c:v>
                </c:pt>
                <c:pt idx="406">
                  <c:v>11-02-2026</c:v>
                </c:pt>
                <c:pt idx="407">
                  <c:v>12-02-2026</c:v>
                </c:pt>
                <c:pt idx="408">
                  <c:v>13-02-2026</c:v>
                </c:pt>
                <c:pt idx="409">
                  <c:v>14-02-2026</c:v>
                </c:pt>
                <c:pt idx="410">
                  <c:v>15-02-2026</c:v>
                </c:pt>
                <c:pt idx="411">
                  <c:v>16-02-2026</c:v>
                </c:pt>
                <c:pt idx="412">
                  <c:v>17-02-2026</c:v>
                </c:pt>
                <c:pt idx="413">
                  <c:v>18-02-2026</c:v>
                </c:pt>
                <c:pt idx="414">
                  <c:v>19-02-2026</c:v>
                </c:pt>
                <c:pt idx="415">
                  <c:v>20-02-2026</c:v>
                </c:pt>
                <c:pt idx="416">
                  <c:v>21-02-2026</c:v>
                </c:pt>
                <c:pt idx="417">
                  <c:v>22-02-2026</c:v>
                </c:pt>
                <c:pt idx="418">
                  <c:v>23-02-2026</c:v>
                </c:pt>
                <c:pt idx="419">
                  <c:v>24-02-2026</c:v>
                </c:pt>
                <c:pt idx="420">
                  <c:v>25-02-2026</c:v>
                </c:pt>
                <c:pt idx="421">
                  <c:v>26-02-2026</c:v>
                </c:pt>
                <c:pt idx="422">
                  <c:v>27-02-2026</c:v>
                </c:pt>
                <c:pt idx="423">
                  <c:v>28-02-2026</c:v>
                </c:pt>
                <c:pt idx="424">
                  <c:v>01-03-2026</c:v>
                </c:pt>
                <c:pt idx="425">
                  <c:v>02-03-2026</c:v>
                </c:pt>
                <c:pt idx="426">
                  <c:v>03-03-2026</c:v>
                </c:pt>
                <c:pt idx="427">
                  <c:v>04-03-2026</c:v>
                </c:pt>
                <c:pt idx="428">
                  <c:v>05-03-2026</c:v>
                </c:pt>
                <c:pt idx="429">
                  <c:v>06-03-2026</c:v>
                </c:pt>
                <c:pt idx="430">
                  <c:v>07-03-2026</c:v>
                </c:pt>
                <c:pt idx="431">
                  <c:v>08-03-2026</c:v>
                </c:pt>
                <c:pt idx="432">
                  <c:v>09-03-2026</c:v>
                </c:pt>
                <c:pt idx="433">
                  <c:v>10-03-2026</c:v>
                </c:pt>
                <c:pt idx="434">
                  <c:v>11-03-2026</c:v>
                </c:pt>
                <c:pt idx="435">
                  <c:v>12-03-2026</c:v>
                </c:pt>
                <c:pt idx="436">
                  <c:v>13-03-2026</c:v>
                </c:pt>
                <c:pt idx="437">
                  <c:v>14-03-2026</c:v>
                </c:pt>
                <c:pt idx="438">
                  <c:v>15-03-2026</c:v>
                </c:pt>
                <c:pt idx="439">
                  <c:v>16-03-2026</c:v>
                </c:pt>
                <c:pt idx="440">
                  <c:v>17-03-2026</c:v>
                </c:pt>
                <c:pt idx="441">
                  <c:v>18-03-2026</c:v>
                </c:pt>
                <c:pt idx="442">
                  <c:v>19-03-2026</c:v>
                </c:pt>
                <c:pt idx="443">
                  <c:v>20-03-2026</c:v>
                </c:pt>
                <c:pt idx="444">
                  <c:v>21-03-2026</c:v>
                </c:pt>
                <c:pt idx="445">
                  <c:v>22-03-2026</c:v>
                </c:pt>
                <c:pt idx="446">
                  <c:v>23-03-2026</c:v>
                </c:pt>
                <c:pt idx="447">
                  <c:v>24-03-2026</c:v>
                </c:pt>
                <c:pt idx="448">
                  <c:v>25-03-2026</c:v>
                </c:pt>
                <c:pt idx="449">
                  <c:v>26-03-2026</c:v>
                </c:pt>
                <c:pt idx="450">
                  <c:v>27-03-2026</c:v>
                </c:pt>
                <c:pt idx="451">
                  <c:v>28-03-2026</c:v>
                </c:pt>
                <c:pt idx="452">
                  <c:v>29-03-2026</c:v>
                </c:pt>
                <c:pt idx="453">
                  <c:v>30-03-2026</c:v>
                </c:pt>
                <c:pt idx="454">
                  <c:v>31-03-2026</c:v>
                </c:pt>
                <c:pt idx="455">
                  <c:v>01-04-2026</c:v>
                </c:pt>
                <c:pt idx="456">
                  <c:v>02-04-2026</c:v>
                </c:pt>
                <c:pt idx="457">
                  <c:v>03-04-2026</c:v>
                </c:pt>
                <c:pt idx="458">
                  <c:v>04-04-2026</c:v>
                </c:pt>
                <c:pt idx="459">
                  <c:v>05-04-2026</c:v>
                </c:pt>
                <c:pt idx="460">
                  <c:v>06-04-2026</c:v>
                </c:pt>
                <c:pt idx="461">
                  <c:v>07-04-2026</c:v>
                </c:pt>
                <c:pt idx="462">
                  <c:v>08-04-2026</c:v>
                </c:pt>
                <c:pt idx="463">
                  <c:v>09-04-2026</c:v>
                </c:pt>
                <c:pt idx="464">
                  <c:v>10-04-2026</c:v>
                </c:pt>
                <c:pt idx="465">
                  <c:v>11-04-2026</c:v>
                </c:pt>
                <c:pt idx="466">
                  <c:v>12-04-2026</c:v>
                </c:pt>
                <c:pt idx="467">
                  <c:v>13-04-2026</c:v>
                </c:pt>
                <c:pt idx="468">
                  <c:v>14-04-2026</c:v>
                </c:pt>
                <c:pt idx="469">
                  <c:v>15-04-2026</c:v>
                </c:pt>
                <c:pt idx="470">
                  <c:v>16-04-2026</c:v>
                </c:pt>
                <c:pt idx="471">
                  <c:v>17-04-2026</c:v>
                </c:pt>
                <c:pt idx="472">
                  <c:v>18-04-2026</c:v>
                </c:pt>
                <c:pt idx="473">
                  <c:v>19-04-2026</c:v>
                </c:pt>
                <c:pt idx="474">
                  <c:v>20-04-2026</c:v>
                </c:pt>
                <c:pt idx="475">
                  <c:v>21-04-2026</c:v>
                </c:pt>
                <c:pt idx="476">
                  <c:v>22-04-2026</c:v>
                </c:pt>
                <c:pt idx="477">
                  <c:v>23-04-2026</c:v>
                </c:pt>
                <c:pt idx="478">
                  <c:v>24-04-2026</c:v>
                </c:pt>
                <c:pt idx="479">
                  <c:v>25-04-2026</c:v>
                </c:pt>
                <c:pt idx="480">
                  <c:v>26-04-2026</c:v>
                </c:pt>
                <c:pt idx="481">
                  <c:v>27-04-2026</c:v>
                </c:pt>
                <c:pt idx="482">
                  <c:v>28-04-2026</c:v>
                </c:pt>
                <c:pt idx="483">
                  <c:v>29-04-2026</c:v>
                </c:pt>
                <c:pt idx="484">
                  <c:v>30-04-2026</c:v>
                </c:pt>
                <c:pt idx="485">
                  <c:v>01-05-2026</c:v>
                </c:pt>
                <c:pt idx="486">
                  <c:v>02-05-2026</c:v>
                </c:pt>
                <c:pt idx="487">
                  <c:v>03-05-2026</c:v>
                </c:pt>
                <c:pt idx="488">
                  <c:v>04-05-2026</c:v>
                </c:pt>
                <c:pt idx="489">
                  <c:v>05-05-2026</c:v>
                </c:pt>
                <c:pt idx="490">
                  <c:v>06-05-2026</c:v>
                </c:pt>
                <c:pt idx="491">
                  <c:v>07-05-2026</c:v>
                </c:pt>
                <c:pt idx="492">
                  <c:v>08-05-2026</c:v>
                </c:pt>
                <c:pt idx="493">
                  <c:v>09-05-2026</c:v>
                </c:pt>
                <c:pt idx="494">
                  <c:v>10-05-2026</c:v>
                </c:pt>
                <c:pt idx="495">
                  <c:v>11-05-2026</c:v>
                </c:pt>
                <c:pt idx="496">
                  <c:v>12-05-2026</c:v>
                </c:pt>
                <c:pt idx="497">
                  <c:v>13-05-2026</c:v>
                </c:pt>
                <c:pt idx="498">
                  <c:v>14-05-2026</c:v>
                </c:pt>
                <c:pt idx="499">
                  <c:v>15-05-2026</c:v>
                </c:pt>
              </c:strCache>
            </c:strRef>
          </c:cat>
          <c:val>
            <c:numRef>
              <c:f>Sheet3!$B$3:$B$503</c:f>
              <c:numCache>
                <c:formatCode>General</c:formatCode>
                <c:ptCount val="500"/>
                <c:pt idx="0">
                  <c:v>5</c:v>
                </c:pt>
                <c:pt idx="1">
                  <c:v>4</c:v>
                </c:pt>
                <c:pt idx="2">
                  <c:v>5.5</c:v>
                </c:pt>
                <c:pt idx="3">
                  <c:v>20</c:v>
                </c:pt>
                <c:pt idx="4">
                  <c:v>2.5</c:v>
                </c:pt>
                <c:pt idx="5">
                  <c:v>18</c:v>
                </c:pt>
                <c:pt idx="6">
                  <c:v>1</c:v>
                </c:pt>
                <c:pt idx="7">
                  <c:v>6</c:v>
                </c:pt>
                <c:pt idx="8">
                  <c:v>5</c:v>
                </c:pt>
                <c:pt idx="9">
                  <c:v>4</c:v>
                </c:pt>
                <c:pt idx="10">
                  <c:v>5.5</c:v>
                </c:pt>
                <c:pt idx="11">
                  <c:v>20</c:v>
                </c:pt>
                <c:pt idx="12">
                  <c:v>2.5</c:v>
                </c:pt>
                <c:pt idx="13">
                  <c:v>18</c:v>
                </c:pt>
                <c:pt idx="14">
                  <c:v>1</c:v>
                </c:pt>
                <c:pt idx="15">
                  <c:v>6</c:v>
                </c:pt>
                <c:pt idx="16">
                  <c:v>5</c:v>
                </c:pt>
                <c:pt idx="17">
                  <c:v>4</c:v>
                </c:pt>
                <c:pt idx="18">
                  <c:v>5.5</c:v>
                </c:pt>
                <c:pt idx="19">
                  <c:v>20</c:v>
                </c:pt>
                <c:pt idx="20">
                  <c:v>2.5</c:v>
                </c:pt>
                <c:pt idx="21">
                  <c:v>18</c:v>
                </c:pt>
                <c:pt idx="22">
                  <c:v>1</c:v>
                </c:pt>
                <c:pt idx="23">
                  <c:v>6</c:v>
                </c:pt>
                <c:pt idx="24">
                  <c:v>5</c:v>
                </c:pt>
                <c:pt idx="25">
                  <c:v>4</c:v>
                </c:pt>
                <c:pt idx="26">
                  <c:v>5.5</c:v>
                </c:pt>
                <c:pt idx="27">
                  <c:v>20</c:v>
                </c:pt>
                <c:pt idx="28">
                  <c:v>2.5</c:v>
                </c:pt>
                <c:pt idx="29">
                  <c:v>18</c:v>
                </c:pt>
                <c:pt idx="30">
                  <c:v>1</c:v>
                </c:pt>
                <c:pt idx="31">
                  <c:v>6</c:v>
                </c:pt>
                <c:pt idx="32">
                  <c:v>5</c:v>
                </c:pt>
                <c:pt idx="33">
                  <c:v>4</c:v>
                </c:pt>
                <c:pt idx="34">
                  <c:v>5.5</c:v>
                </c:pt>
                <c:pt idx="35">
                  <c:v>20</c:v>
                </c:pt>
                <c:pt idx="36">
                  <c:v>2.5</c:v>
                </c:pt>
                <c:pt idx="37">
                  <c:v>18</c:v>
                </c:pt>
                <c:pt idx="38">
                  <c:v>1</c:v>
                </c:pt>
                <c:pt idx="39">
                  <c:v>6</c:v>
                </c:pt>
                <c:pt idx="40">
                  <c:v>5</c:v>
                </c:pt>
                <c:pt idx="41">
                  <c:v>4</c:v>
                </c:pt>
                <c:pt idx="42">
                  <c:v>5.5</c:v>
                </c:pt>
                <c:pt idx="43">
                  <c:v>20</c:v>
                </c:pt>
                <c:pt idx="44">
                  <c:v>2.5</c:v>
                </c:pt>
                <c:pt idx="45">
                  <c:v>18</c:v>
                </c:pt>
                <c:pt idx="46">
                  <c:v>1</c:v>
                </c:pt>
                <c:pt idx="47">
                  <c:v>6</c:v>
                </c:pt>
                <c:pt idx="48">
                  <c:v>5</c:v>
                </c:pt>
                <c:pt idx="49">
                  <c:v>4</c:v>
                </c:pt>
                <c:pt idx="50">
                  <c:v>5.5</c:v>
                </c:pt>
                <c:pt idx="51">
                  <c:v>20</c:v>
                </c:pt>
                <c:pt idx="52">
                  <c:v>2.5</c:v>
                </c:pt>
                <c:pt idx="53">
                  <c:v>18</c:v>
                </c:pt>
                <c:pt idx="54">
                  <c:v>1</c:v>
                </c:pt>
                <c:pt idx="55">
                  <c:v>6</c:v>
                </c:pt>
                <c:pt idx="56">
                  <c:v>5</c:v>
                </c:pt>
                <c:pt idx="57">
                  <c:v>4</c:v>
                </c:pt>
                <c:pt idx="58">
                  <c:v>5.5</c:v>
                </c:pt>
                <c:pt idx="59">
                  <c:v>20</c:v>
                </c:pt>
                <c:pt idx="60">
                  <c:v>2.5</c:v>
                </c:pt>
                <c:pt idx="61">
                  <c:v>18</c:v>
                </c:pt>
                <c:pt idx="62">
                  <c:v>1</c:v>
                </c:pt>
                <c:pt idx="63">
                  <c:v>6</c:v>
                </c:pt>
                <c:pt idx="64">
                  <c:v>5</c:v>
                </c:pt>
                <c:pt idx="65">
                  <c:v>4</c:v>
                </c:pt>
                <c:pt idx="66">
                  <c:v>5.5</c:v>
                </c:pt>
                <c:pt idx="67">
                  <c:v>20</c:v>
                </c:pt>
                <c:pt idx="68">
                  <c:v>2.5</c:v>
                </c:pt>
                <c:pt idx="69">
                  <c:v>18</c:v>
                </c:pt>
                <c:pt idx="70">
                  <c:v>1</c:v>
                </c:pt>
                <c:pt idx="71">
                  <c:v>6</c:v>
                </c:pt>
                <c:pt idx="72">
                  <c:v>5</c:v>
                </c:pt>
                <c:pt idx="73">
                  <c:v>4</c:v>
                </c:pt>
                <c:pt idx="74">
                  <c:v>5.5</c:v>
                </c:pt>
                <c:pt idx="75">
                  <c:v>20</c:v>
                </c:pt>
                <c:pt idx="76">
                  <c:v>2.5</c:v>
                </c:pt>
                <c:pt idx="77">
                  <c:v>18</c:v>
                </c:pt>
                <c:pt idx="78">
                  <c:v>1</c:v>
                </c:pt>
                <c:pt idx="79">
                  <c:v>6</c:v>
                </c:pt>
                <c:pt idx="80">
                  <c:v>5</c:v>
                </c:pt>
                <c:pt idx="81">
                  <c:v>4</c:v>
                </c:pt>
                <c:pt idx="82">
                  <c:v>5.5</c:v>
                </c:pt>
                <c:pt idx="83">
                  <c:v>20</c:v>
                </c:pt>
                <c:pt idx="84">
                  <c:v>2.5</c:v>
                </c:pt>
                <c:pt idx="85">
                  <c:v>18</c:v>
                </c:pt>
                <c:pt idx="86">
                  <c:v>1</c:v>
                </c:pt>
                <c:pt idx="87">
                  <c:v>6</c:v>
                </c:pt>
                <c:pt idx="88">
                  <c:v>5</c:v>
                </c:pt>
                <c:pt idx="89">
                  <c:v>4</c:v>
                </c:pt>
                <c:pt idx="90">
                  <c:v>5.5</c:v>
                </c:pt>
                <c:pt idx="91">
                  <c:v>20</c:v>
                </c:pt>
                <c:pt idx="92">
                  <c:v>2.5</c:v>
                </c:pt>
                <c:pt idx="93">
                  <c:v>18</c:v>
                </c:pt>
                <c:pt idx="94">
                  <c:v>1</c:v>
                </c:pt>
                <c:pt idx="95">
                  <c:v>6</c:v>
                </c:pt>
                <c:pt idx="96">
                  <c:v>5</c:v>
                </c:pt>
                <c:pt idx="97">
                  <c:v>4</c:v>
                </c:pt>
                <c:pt idx="98">
                  <c:v>5.5</c:v>
                </c:pt>
                <c:pt idx="99">
                  <c:v>20</c:v>
                </c:pt>
                <c:pt idx="100">
                  <c:v>2.5</c:v>
                </c:pt>
                <c:pt idx="101">
                  <c:v>18</c:v>
                </c:pt>
                <c:pt idx="102">
                  <c:v>1</c:v>
                </c:pt>
                <c:pt idx="103">
                  <c:v>6</c:v>
                </c:pt>
                <c:pt idx="104">
                  <c:v>5</c:v>
                </c:pt>
                <c:pt idx="105">
                  <c:v>4</c:v>
                </c:pt>
                <c:pt idx="106">
                  <c:v>5.5</c:v>
                </c:pt>
                <c:pt idx="107">
                  <c:v>20</c:v>
                </c:pt>
                <c:pt idx="108">
                  <c:v>2.5</c:v>
                </c:pt>
                <c:pt idx="109">
                  <c:v>18</c:v>
                </c:pt>
                <c:pt idx="110">
                  <c:v>1</c:v>
                </c:pt>
                <c:pt idx="111">
                  <c:v>6</c:v>
                </c:pt>
                <c:pt idx="112">
                  <c:v>5</c:v>
                </c:pt>
                <c:pt idx="113">
                  <c:v>4</c:v>
                </c:pt>
                <c:pt idx="114">
                  <c:v>5.5</c:v>
                </c:pt>
                <c:pt idx="115">
                  <c:v>20</c:v>
                </c:pt>
                <c:pt idx="116">
                  <c:v>2.5</c:v>
                </c:pt>
                <c:pt idx="117">
                  <c:v>18</c:v>
                </c:pt>
                <c:pt idx="118">
                  <c:v>1</c:v>
                </c:pt>
                <c:pt idx="119">
                  <c:v>6</c:v>
                </c:pt>
                <c:pt idx="120">
                  <c:v>5</c:v>
                </c:pt>
                <c:pt idx="121">
                  <c:v>4</c:v>
                </c:pt>
                <c:pt idx="122">
                  <c:v>5.5</c:v>
                </c:pt>
                <c:pt idx="123">
                  <c:v>20</c:v>
                </c:pt>
                <c:pt idx="124">
                  <c:v>2.5</c:v>
                </c:pt>
                <c:pt idx="125">
                  <c:v>18</c:v>
                </c:pt>
                <c:pt idx="126">
                  <c:v>1</c:v>
                </c:pt>
                <c:pt idx="127">
                  <c:v>6</c:v>
                </c:pt>
                <c:pt idx="128">
                  <c:v>5</c:v>
                </c:pt>
                <c:pt idx="129">
                  <c:v>4</c:v>
                </c:pt>
                <c:pt idx="130">
                  <c:v>5.5</c:v>
                </c:pt>
                <c:pt idx="131">
                  <c:v>20</c:v>
                </c:pt>
                <c:pt idx="132">
                  <c:v>2.5</c:v>
                </c:pt>
                <c:pt idx="133">
                  <c:v>18</c:v>
                </c:pt>
                <c:pt idx="134">
                  <c:v>1</c:v>
                </c:pt>
                <c:pt idx="135">
                  <c:v>6</c:v>
                </c:pt>
                <c:pt idx="136">
                  <c:v>5</c:v>
                </c:pt>
                <c:pt idx="137">
                  <c:v>4</c:v>
                </c:pt>
                <c:pt idx="138">
                  <c:v>5.5</c:v>
                </c:pt>
                <c:pt idx="139">
                  <c:v>20</c:v>
                </c:pt>
                <c:pt idx="140">
                  <c:v>2.5</c:v>
                </c:pt>
                <c:pt idx="141">
                  <c:v>18</c:v>
                </c:pt>
                <c:pt idx="142">
                  <c:v>1</c:v>
                </c:pt>
                <c:pt idx="143">
                  <c:v>6</c:v>
                </c:pt>
                <c:pt idx="144">
                  <c:v>5</c:v>
                </c:pt>
                <c:pt idx="145">
                  <c:v>4</c:v>
                </c:pt>
                <c:pt idx="146">
                  <c:v>5.5</c:v>
                </c:pt>
                <c:pt idx="147">
                  <c:v>20</c:v>
                </c:pt>
                <c:pt idx="148">
                  <c:v>2.5</c:v>
                </c:pt>
                <c:pt idx="149">
                  <c:v>18</c:v>
                </c:pt>
                <c:pt idx="150">
                  <c:v>1</c:v>
                </c:pt>
                <c:pt idx="151">
                  <c:v>6</c:v>
                </c:pt>
                <c:pt idx="152">
                  <c:v>5</c:v>
                </c:pt>
                <c:pt idx="153">
                  <c:v>4</c:v>
                </c:pt>
                <c:pt idx="154">
                  <c:v>5.5</c:v>
                </c:pt>
                <c:pt idx="155">
                  <c:v>20</c:v>
                </c:pt>
                <c:pt idx="156">
                  <c:v>2.5</c:v>
                </c:pt>
                <c:pt idx="157">
                  <c:v>18</c:v>
                </c:pt>
                <c:pt idx="158">
                  <c:v>1</c:v>
                </c:pt>
                <c:pt idx="159">
                  <c:v>6</c:v>
                </c:pt>
                <c:pt idx="160">
                  <c:v>5</c:v>
                </c:pt>
                <c:pt idx="161">
                  <c:v>4</c:v>
                </c:pt>
                <c:pt idx="162">
                  <c:v>5.5</c:v>
                </c:pt>
                <c:pt idx="163">
                  <c:v>20</c:v>
                </c:pt>
                <c:pt idx="164">
                  <c:v>2.5</c:v>
                </c:pt>
                <c:pt idx="165">
                  <c:v>18</c:v>
                </c:pt>
                <c:pt idx="166">
                  <c:v>1</c:v>
                </c:pt>
                <c:pt idx="167">
                  <c:v>6</c:v>
                </c:pt>
                <c:pt idx="168">
                  <c:v>5</c:v>
                </c:pt>
                <c:pt idx="169">
                  <c:v>4</c:v>
                </c:pt>
                <c:pt idx="170">
                  <c:v>5.5</c:v>
                </c:pt>
                <c:pt idx="171">
                  <c:v>20</c:v>
                </c:pt>
                <c:pt idx="172">
                  <c:v>2.5</c:v>
                </c:pt>
                <c:pt idx="173">
                  <c:v>18</c:v>
                </c:pt>
                <c:pt idx="174">
                  <c:v>1</c:v>
                </c:pt>
                <c:pt idx="175">
                  <c:v>6</c:v>
                </c:pt>
                <c:pt idx="176">
                  <c:v>5</c:v>
                </c:pt>
                <c:pt idx="177">
                  <c:v>4</c:v>
                </c:pt>
                <c:pt idx="178">
                  <c:v>5.5</c:v>
                </c:pt>
                <c:pt idx="179">
                  <c:v>20</c:v>
                </c:pt>
                <c:pt idx="180">
                  <c:v>2.5</c:v>
                </c:pt>
                <c:pt idx="181">
                  <c:v>18</c:v>
                </c:pt>
                <c:pt idx="182">
                  <c:v>1</c:v>
                </c:pt>
                <c:pt idx="183">
                  <c:v>6</c:v>
                </c:pt>
                <c:pt idx="184">
                  <c:v>5</c:v>
                </c:pt>
                <c:pt idx="185">
                  <c:v>4</c:v>
                </c:pt>
                <c:pt idx="186">
                  <c:v>5.5</c:v>
                </c:pt>
                <c:pt idx="187">
                  <c:v>20</c:v>
                </c:pt>
                <c:pt idx="188">
                  <c:v>2.5</c:v>
                </c:pt>
                <c:pt idx="189">
                  <c:v>18</c:v>
                </c:pt>
                <c:pt idx="190">
                  <c:v>1</c:v>
                </c:pt>
                <c:pt idx="191">
                  <c:v>6</c:v>
                </c:pt>
                <c:pt idx="192">
                  <c:v>5</c:v>
                </c:pt>
                <c:pt idx="193">
                  <c:v>4</c:v>
                </c:pt>
                <c:pt idx="194">
                  <c:v>5.5</c:v>
                </c:pt>
                <c:pt idx="195">
                  <c:v>20</c:v>
                </c:pt>
                <c:pt idx="196">
                  <c:v>2.5</c:v>
                </c:pt>
                <c:pt idx="197">
                  <c:v>18</c:v>
                </c:pt>
                <c:pt idx="198">
                  <c:v>1</c:v>
                </c:pt>
                <c:pt idx="199">
                  <c:v>6</c:v>
                </c:pt>
                <c:pt idx="200">
                  <c:v>5</c:v>
                </c:pt>
                <c:pt idx="201">
                  <c:v>4</c:v>
                </c:pt>
                <c:pt idx="202">
                  <c:v>5.5</c:v>
                </c:pt>
                <c:pt idx="203">
                  <c:v>20</c:v>
                </c:pt>
                <c:pt idx="204">
                  <c:v>2.5</c:v>
                </c:pt>
                <c:pt idx="205">
                  <c:v>18</c:v>
                </c:pt>
                <c:pt idx="206">
                  <c:v>1</c:v>
                </c:pt>
                <c:pt idx="207">
                  <c:v>6</c:v>
                </c:pt>
                <c:pt idx="208">
                  <c:v>5</c:v>
                </c:pt>
                <c:pt idx="209">
                  <c:v>4</c:v>
                </c:pt>
                <c:pt idx="210">
                  <c:v>5.5</c:v>
                </c:pt>
                <c:pt idx="211">
                  <c:v>20</c:v>
                </c:pt>
                <c:pt idx="212">
                  <c:v>2.5</c:v>
                </c:pt>
                <c:pt idx="213">
                  <c:v>18</c:v>
                </c:pt>
                <c:pt idx="214">
                  <c:v>1</c:v>
                </c:pt>
                <c:pt idx="215">
                  <c:v>6</c:v>
                </c:pt>
                <c:pt idx="216">
                  <c:v>5</c:v>
                </c:pt>
                <c:pt idx="217">
                  <c:v>4</c:v>
                </c:pt>
                <c:pt idx="218">
                  <c:v>5.5</c:v>
                </c:pt>
                <c:pt idx="219">
                  <c:v>20</c:v>
                </c:pt>
                <c:pt idx="220">
                  <c:v>2.5</c:v>
                </c:pt>
                <c:pt idx="221">
                  <c:v>18</c:v>
                </c:pt>
                <c:pt idx="222">
                  <c:v>1</c:v>
                </c:pt>
                <c:pt idx="223">
                  <c:v>6</c:v>
                </c:pt>
                <c:pt idx="224">
                  <c:v>5</c:v>
                </c:pt>
                <c:pt idx="225">
                  <c:v>4</c:v>
                </c:pt>
                <c:pt idx="226">
                  <c:v>5.5</c:v>
                </c:pt>
                <c:pt idx="227">
                  <c:v>20</c:v>
                </c:pt>
                <c:pt idx="228">
                  <c:v>2.5</c:v>
                </c:pt>
                <c:pt idx="229">
                  <c:v>18</c:v>
                </c:pt>
                <c:pt idx="230">
                  <c:v>1</c:v>
                </c:pt>
                <c:pt idx="231">
                  <c:v>6</c:v>
                </c:pt>
                <c:pt idx="232">
                  <c:v>5</c:v>
                </c:pt>
                <c:pt idx="233">
                  <c:v>4</c:v>
                </c:pt>
                <c:pt idx="234">
                  <c:v>5.5</c:v>
                </c:pt>
                <c:pt idx="235">
                  <c:v>20</c:v>
                </c:pt>
                <c:pt idx="236">
                  <c:v>2.5</c:v>
                </c:pt>
                <c:pt idx="237">
                  <c:v>18</c:v>
                </c:pt>
                <c:pt idx="238">
                  <c:v>1</c:v>
                </c:pt>
                <c:pt idx="239">
                  <c:v>6</c:v>
                </c:pt>
                <c:pt idx="240">
                  <c:v>5</c:v>
                </c:pt>
                <c:pt idx="241">
                  <c:v>4</c:v>
                </c:pt>
                <c:pt idx="242">
                  <c:v>5.5</c:v>
                </c:pt>
                <c:pt idx="243">
                  <c:v>20</c:v>
                </c:pt>
                <c:pt idx="244">
                  <c:v>2.5</c:v>
                </c:pt>
                <c:pt idx="245">
                  <c:v>18</c:v>
                </c:pt>
                <c:pt idx="246">
                  <c:v>1</c:v>
                </c:pt>
                <c:pt idx="247">
                  <c:v>6</c:v>
                </c:pt>
                <c:pt idx="248">
                  <c:v>5</c:v>
                </c:pt>
                <c:pt idx="249">
                  <c:v>4</c:v>
                </c:pt>
                <c:pt idx="250">
                  <c:v>5.5</c:v>
                </c:pt>
                <c:pt idx="251">
                  <c:v>20</c:v>
                </c:pt>
                <c:pt idx="252">
                  <c:v>2.5</c:v>
                </c:pt>
                <c:pt idx="253">
                  <c:v>18</c:v>
                </c:pt>
                <c:pt idx="254">
                  <c:v>1</c:v>
                </c:pt>
                <c:pt idx="255">
                  <c:v>6</c:v>
                </c:pt>
                <c:pt idx="256">
                  <c:v>5</c:v>
                </c:pt>
                <c:pt idx="257">
                  <c:v>4</c:v>
                </c:pt>
                <c:pt idx="258">
                  <c:v>5.5</c:v>
                </c:pt>
                <c:pt idx="259">
                  <c:v>20</c:v>
                </c:pt>
                <c:pt idx="260">
                  <c:v>2.5</c:v>
                </c:pt>
                <c:pt idx="261">
                  <c:v>18</c:v>
                </c:pt>
                <c:pt idx="262">
                  <c:v>1</c:v>
                </c:pt>
                <c:pt idx="263">
                  <c:v>6</c:v>
                </c:pt>
                <c:pt idx="264">
                  <c:v>5</c:v>
                </c:pt>
                <c:pt idx="265">
                  <c:v>4</c:v>
                </c:pt>
                <c:pt idx="266">
                  <c:v>5.5</c:v>
                </c:pt>
                <c:pt idx="267">
                  <c:v>20</c:v>
                </c:pt>
                <c:pt idx="268">
                  <c:v>2.5</c:v>
                </c:pt>
                <c:pt idx="269">
                  <c:v>18</c:v>
                </c:pt>
                <c:pt idx="270">
                  <c:v>1</c:v>
                </c:pt>
                <c:pt idx="271">
                  <c:v>6</c:v>
                </c:pt>
                <c:pt idx="272">
                  <c:v>5</c:v>
                </c:pt>
                <c:pt idx="273">
                  <c:v>4</c:v>
                </c:pt>
                <c:pt idx="274">
                  <c:v>5.5</c:v>
                </c:pt>
                <c:pt idx="275">
                  <c:v>20</c:v>
                </c:pt>
                <c:pt idx="276">
                  <c:v>2.5</c:v>
                </c:pt>
                <c:pt idx="277">
                  <c:v>18</c:v>
                </c:pt>
                <c:pt idx="278">
                  <c:v>1</c:v>
                </c:pt>
                <c:pt idx="279">
                  <c:v>6</c:v>
                </c:pt>
                <c:pt idx="280">
                  <c:v>5</c:v>
                </c:pt>
                <c:pt idx="281">
                  <c:v>4</c:v>
                </c:pt>
                <c:pt idx="282">
                  <c:v>5.5</c:v>
                </c:pt>
                <c:pt idx="283">
                  <c:v>20</c:v>
                </c:pt>
                <c:pt idx="284">
                  <c:v>2.5</c:v>
                </c:pt>
                <c:pt idx="285">
                  <c:v>18</c:v>
                </c:pt>
                <c:pt idx="286">
                  <c:v>1</c:v>
                </c:pt>
                <c:pt idx="287">
                  <c:v>6</c:v>
                </c:pt>
                <c:pt idx="288">
                  <c:v>5</c:v>
                </c:pt>
                <c:pt idx="289">
                  <c:v>4</c:v>
                </c:pt>
                <c:pt idx="290">
                  <c:v>5.5</c:v>
                </c:pt>
                <c:pt idx="291">
                  <c:v>20</c:v>
                </c:pt>
                <c:pt idx="292">
                  <c:v>2.5</c:v>
                </c:pt>
                <c:pt idx="293">
                  <c:v>18</c:v>
                </c:pt>
                <c:pt idx="294">
                  <c:v>1</c:v>
                </c:pt>
                <c:pt idx="295">
                  <c:v>6</c:v>
                </c:pt>
                <c:pt idx="296">
                  <c:v>5</c:v>
                </c:pt>
                <c:pt idx="297">
                  <c:v>4</c:v>
                </c:pt>
                <c:pt idx="298">
                  <c:v>5.5</c:v>
                </c:pt>
                <c:pt idx="299">
                  <c:v>20</c:v>
                </c:pt>
                <c:pt idx="300">
                  <c:v>2.5</c:v>
                </c:pt>
                <c:pt idx="301">
                  <c:v>18</c:v>
                </c:pt>
                <c:pt idx="302">
                  <c:v>1</c:v>
                </c:pt>
                <c:pt idx="303">
                  <c:v>6</c:v>
                </c:pt>
                <c:pt idx="304">
                  <c:v>5</c:v>
                </c:pt>
                <c:pt idx="305">
                  <c:v>4</c:v>
                </c:pt>
                <c:pt idx="306">
                  <c:v>5.5</c:v>
                </c:pt>
                <c:pt idx="307">
                  <c:v>20</c:v>
                </c:pt>
                <c:pt idx="308">
                  <c:v>2.5</c:v>
                </c:pt>
                <c:pt idx="309">
                  <c:v>18</c:v>
                </c:pt>
                <c:pt idx="310">
                  <c:v>1</c:v>
                </c:pt>
                <c:pt idx="311">
                  <c:v>6</c:v>
                </c:pt>
                <c:pt idx="312">
                  <c:v>5</c:v>
                </c:pt>
                <c:pt idx="313">
                  <c:v>4</c:v>
                </c:pt>
                <c:pt idx="314">
                  <c:v>5.5</c:v>
                </c:pt>
                <c:pt idx="315">
                  <c:v>20</c:v>
                </c:pt>
                <c:pt idx="316">
                  <c:v>2.5</c:v>
                </c:pt>
                <c:pt idx="317">
                  <c:v>18</c:v>
                </c:pt>
                <c:pt idx="318">
                  <c:v>1</c:v>
                </c:pt>
                <c:pt idx="319">
                  <c:v>6</c:v>
                </c:pt>
                <c:pt idx="320">
                  <c:v>5</c:v>
                </c:pt>
                <c:pt idx="321">
                  <c:v>4</c:v>
                </c:pt>
                <c:pt idx="322">
                  <c:v>5.5</c:v>
                </c:pt>
                <c:pt idx="323">
                  <c:v>20</c:v>
                </c:pt>
                <c:pt idx="324">
                  <c:v>2.5</c:v>
                </c:pt>
                <c:pt idx="325">
                  <c:v>18</c:v>
                </c:pt>
                <c:pt idx="326">
                  <c:v>1</c:v>
                </c:pt>
                <c:pt idx="327">
                  <c:v>6</c:v>
                </c:pt>
                <c:pt idx="328">
                  <c:v>5</c:v>
                </c:pt>
                <c:pt idx="329">
                  <c:v>4</c:v>
                </c:pt>
                <c:pt idx="330">
                  <c:v>5.5</c:v>
                </c:pt>
                <c:pt idx="331">
                  <c:v>20</c:v>
                </c:pt>
                <c:pt idx="332">
                  <c:v>2.5</c:v>
                </c:pt>
                <c:pt idx="333">
                  <c:v>18</c:v>
                </c:pt>
                <c:pt idx="334">
                  <c:v>1</c:v>
                </c:pt>
                <c:pt idx="335">
                  <c:v>6</c:v>
                </c:pt>
                <c:pt idx="336">
                  <c:v>5</c:v>
                </c:pt>
                <c:pt idx="337">
                  <c:v>4</c:v>
                </c:pt>
                <c:pt idx="338">
                  <c:v>5.5</c:v>
                </c:pt>
                <c:pt idx="339">
                  <c:v>20</c:v>
                </c:pt>
                <c:pt idx="340">
                  <c:v>2.5</c:v>
                </c:pt>
                <c:pt idx="341">
                  <c:v>18</c:v>
                </c:pt>
                <c:pt idx="342">
                  <c:v>1</c:v>
                </c:pt>
                <c:pt idx="343">
                  <c:v>6</c:v>
                </c:pt>
                <c:pt idx="344">
                  <c:v>5</c:v>
                </c:pt>
                <c:pt idx="345">
                  <c:v>4</c:v>
                </c:pt>
                <c:pt idx="346">
                  <c:v>5.5</c:v>
                </c:pt>
                <c:pt idx="347">
                  <c:v>20</c:v>
                </c:pt>
                <c:pt idx="348">
                  <c:v>2.5</c:v>
                </c:pt>
                <c:pt idx="349">
                  <c:v>18</c:v>
                </c:pt>
                <c:pt idx="350">
                  <c:v>1</c:v>
                </c:pt>
                <c:pt idx="351">
                  <c:v>6</c:v>
                </c:pt>
                <c:pt idx="352">
                  <c:v>5</c:v>
                </c:pt>
                <c:pt idx="353">
                  <c:v>4</c:v>
                </c:pt>
                <c:pt idx="354">
                  <c:v>5.5</c:v>
                </c:pt>
                <c:pt idx="355">
                  <c:v>20</c:v>
                </c:pt>
                <c:pt idx="356">
                  <c:v>2.5</c:v>
                </c:pt>
                <c:pt idx="357">
                  <c:v>18</c:v>
                </c:pt>
                <c:pt idx="358">
                  <c:v>1</c:v>
                </c:pt>
                <c:pt idx="359">
                  <c:v>6</c:v>
                </c:pt>
                <c:pt idx="360">
                  <c:v>5</c:v>
                </c:pt>
                <c:pt idx="361">
                  <c:v>4</c:v>
                </c:pt>
                <c:pt idx="362">
                  <c:v>5.5</c:v>
                </c:pt>
                <c:pt idx="363">
                  <c:v>20</c:v>
                </c:pt>
                <c:pt idx="364">
                  <c:v>2.5</c:v>
                </c:pt>
                <c:pt idx="365">
                  <c:v>18</c:v>
                </c:pt>
                <c:pt idx="366">
                  <c:v>1</c:v>
                </c:pt>
                <c:pt idx="367">
                  <c:v>6</c:v>
                </c:pt>
                <c:pt idx="368">
                  <c:v>5</c:v>
                </c:pt>
                <c:pt idx="369">
                  <c:v>4</c:v>
                </c:pt>
                <c:pt idx="370">
                  <c:v>5.5</c:v>
                </c:pt>
                <c:pt idx="371">
                  <c:v>20</c:v>
                </c:pt>
                <c:pt idx="372">
                  <c:v>2.5</c:v>
                </c:pt>
                <c:pt idx="373">
                  <c:v>18</c:v>
                </c:pt>
                <c:pt idx="374">
                  <c:v>1</c:v>
                </c:pt>
                <c:pt idx="375">
                  <c:v>6</c:v>
                </c:pt>
                <c:pt idx="376">
                  <c:v>5</c:v>
                </c:pt>
                <c:pt idx="377">
                  <c:v>4</c:v>
                </c:pt>
                <c:pt idx="378">
                  <c:v>5.5</c:v>
                </c:pt>
                <c:pt idx="379">
                  <c:v>20</c:v>
                </c:pt>
                <c:pt idx="380">
                  <c:v>2.5</c:v>
                </c:pt>
                <c:pt idx="381">
                  <c:v>18</c:v>
                </c:pt>
                <c:pt idx="382">
                  <c:v>1</c:v>
                </c:pt>
                <c:pt idx="383">
                  <c:v>6</c:v>
                </c:pt>
                <c:pt idx="384">
                  <c:v>5</c:v>
                </c:pt>
                <c:pt idx="385">
                  <c:v>4</c:v>
                </c:pt>
                <c:pt idx="386">
                  <c:v>5.5</c:v>
                </c:pt>
                <c:pt idx="387">
                  <c:v>20</c:v>
                </c:pt>
                <c:pt idx="388">
                  <c:v>2.5</c:v>
                </c:pt>
                <c:pt idx="389">
                  <c:v>18</c:v>
                </c:pt>
                <c:pt idx="390">
                  <c:v>1</c:v>
                </c:pt>
                <c:pt idx="391">
                  <c:v>6</c:v>
                </c:pt>
                <c:pt idx="392">
                  <c:v>5</c:v>
                </c:pt>
                <c:pt idx="393">
                  <c:v>4</c:v>
                </c:pt>
                <c:pt idx="394">
                  <c:v>5.5</c:v>
                </c:pt>
                <c:pt idx="395">
                  <c:v>20</c:v>
                </c:pt>
                <c:pt idx="396">
                  <c:v>2.5</c:v>
                </c:pt>
                <c:pt idx="397">
                  <c:v>18</c:v>
                </c:pt>
                <c:pt idx="398">
                  <c:v>1</c:v>
                </c:pt>
                <c:pt idx="399">
                  <c:v>6</c:v>
                </c:pt>
                <c:pt idx="400">
                  <c:v>5</c:v>
                </c:pt>
                <c:pt idx="401">
                  <c:v>4</c:v>
                </c:pt>
                <c:pt idx="402">
                  <c:v>5.5</c:v>
                </c:pt>
                <c:pt idx="403">
                  <c:v>20</c:v>
                </c:pt>
                <c:pt idx="404">
                  <c:v>2.5</c:v>
                </c:pt>
                <c:pt idx="405">
                  <c:v>18</c:v>
                </c:pt>
                <c:pt idx="406">
                  <c:v>1</c:v>
                </c:pt>
                <c:pt idx="407">
                  <c:v>6</c:v>
                </c:pt>
                <c:pt idx="408">
                  <c:v>5</c:v>
                </c:pt>
                <c:pt idx="409">
                  <c:v>4</c:v>
                </c:pt>
                <c:pt idx="410">
                  <c:v>5.5</c:v>
                </c:pt>
                <c:pt idx="411">
                  <c:v>20</c:v>
                </c:pt>
                <c:pt idx="412">
                  <c:v>2.5</c:v>
                </c:pt>
                <c:pt idx="413">
                  <c:v>18</c:v>
                </c:pt>
                <c:pt idx="414">
                  <c:v>1</c:v>
                </c:pt>
                <c:pt idx="415">
                  <c:v>6</c:v>
                </c:pt>
                <c:pt idx="416">
                  <c:v>5</c:v>
                </c:pt>
                <c:pt idx="417">
                  <c:v>4</c:v>
                </c:pt>
                <c:pt idx="418">
                  <c:v>5.5</c:v>
                </c:pt>
                <c:pt idx="419">
                  <c:v>20</c:v>
                </c:pt>
                <c:pt idx="420">
                  <c:v>2.5</c:v>
                </c:pt>
                <c:pt idx="421">
                  <c:v>18</c:v>
                </c:pt>
                <c:pt idx="422">
                  <c:v>1</c:v>
                </c:pt>
                <c:pt idx="423">
                  <c:v>6</c:v>
                </c:pt>
                <c:pt idx="424">
                  <c:v>5</c:v>
                </c:pt>
                <c:pt idx="425">
                  <c:v>4</c:v>
                </c:pt>
                <c:pt idx="426">
                  <c:v>5.5</c:v>
                </c:pt>
                <c:pt idx="427">
                  <c:v>20</c:v>
                </c:pt>
                <c:pt idx="428">
                  <c:v>2.5</c:v>
                </c:pt>
                <c:pt idx="429">
                  <c:v>18</c:v>
                </c:pt>
                <c:pt idx="430">
                  <c:v>1</c:v>
                </c:pt>
                <c:pt idx="431">
                  <c:v>6</c:v>
                </c:pt>
                <c:pt idx="432">
                  <c:v>5</c:v>
                </c:pt>
                <c:pt idx="433">
                  <c:v>4</c:v>
                </c:pt>
                <c:pt idx="434">
                  <c:v>5.5</c:v>
                </c:pt>
                <c:pt idx="435">
                  <c:v>20</c:v>
                </c:pt>
                <c:pt idx="436">
                  <c:v>2.5</c:v>
                </c:pt>
                <c:pt idx="437">
                  <c:v>18</c:v>
                </c:pt>
                <c:pt idx="438">
                  <c:v>1</c:v>
                </c:pt>
                <c:pt idx="439">
                  <c:v>6</c:v>
                </c:pt>
                <c:pt idx="440">
                  <c:v>5</c:v>
                </c:pt>
                <c:pt idx="441">
                  <c:v>4</c:v>
                </c:pt>
                <c:pt idx="442">
                  <c:v>5.5</c:v>
                </c:pt>
                <c:pt idx="443">
                  <c:v>20</c:v>
                </c:pt>
                <c:pt idx="444">
                  <c:v>2.5</c:v>
                </c:pt>
                <c:pt idx="445">
                  <c:v>18</c:v>
                </c:pt>
                <c:pt idx="446">
                  <c:v>1</c:v>
                </c:pt>
                <c:pt idx="447">
                  <c:v>6</c:v>
                </c:pt>
                <c:pt idx="448">
                  <c:v>5</c:v>
                </c:pt>
                <c:pt idx="449">
                  <c:v>4</c:v>
                </c:pt>
                <c:pt idx="450">
                  <c:v>5.5</c:v>
                </c:pt>
                <c:pt idx="451">
                  <c:v>20</c:v>
                </c:pt>
                <c:pt idx="452">
                  <c:v>2.5</c:v>
                </c:pt>
                <c:pt idx="453">
                  <c:v>18</c:v>
                </c:pt>
                <c:pt idx="454">
                  <c:v>1</c:v>
                </c:pt>
                <c:pt idx="455">
                  <c:v>6</c:v>
                </c:pt>
                <c:pt idx="456">
                  <c:v>5</c:v>
                </c:pt>
                <c:pt idx="457">
                  <c:v>4</c:v>
                </c:pt>
                <c:pt idx="458">
                  <c:v>5.5</c:v>
                </c:pt>
                <c:pt idx="459">
                  <c:v>20</c:v>
                </c:pt>
                <c:pt idx="460">
                  <c:v>2.5</c:v>
                </c:pt>
                <c:pt idx="461">
                  <c:v>18</c:v>
                </c:pt>
                <c:pt idx="462">
                  <c:v>1</c:v>
                </c:pt>
                <c:pt idx="463">
                  <c:v>6</c:v>
                </c:pt>
                <c:pt idx="464">
                  <c:v>5</c:v>
                </c:pt>
                <c:pt idx="465">
                  <c:v>4</c:v>
                </c:pt>
                <c:pt idx="466">
                  <c:v>5.5</c:v>
                </c:pt>
                <c:pt idx="467">
                  <c:v>20</c:v>
                </c:pt>
                <c:pt idx="468">
                  <c:v>2.5</c:v>
                </c:pt>
                <c:pt idx="469">
                  <c:v>18</c:v>
                </c:pt>
                <c:pt idx="470">
                  <c:v>1</c:v>
                </c:pt>
                <c:pt idx="471">
                  <c:v>6</c:v>
                </c:pt>
                <c:pt idx="472">
                  <c:v>5</c:v>
                </c:pt>
                <c:pt idx="473">
                  <c:v>4</c:v>
                </c:pt>
                <c:pt idx="474">
                  <c:v>5.5</c:v>
                </c:pt>
                <c:pt idx="475">
                  <c:v>20</c:v>
                </c:pt>
                <c:pt idx="476">
                  <c:v>2.5</c:v>
                </c:pt>
                <c:pt idx="477">
                  <c:v>18</c:v>
                </c:pt>
                <c:pt idx="478">
                  <c:v>1</c:v>
                </c:pt>
                <c:pt idx="479">
                  <c:v>6</c:v>
                </c:pt>
                <c:pt idx="480">
                  <c:v>5</c:v>
                </c:pt>
                <c:pt idx="481">
                  <c:v>4</c:v>
                </c:pt>
                <c:pt idx="482">
                  <c:v>5.5</c:v>
                </c:pt>
                <c:pt idx="483">
                  <c:v>20</c:v>
                </c:pt>
                <c:pt idx="484">
                  <c:v>2.5</c:v>
                </c:pt>
                <c:pt idx="485">
                  <c:v>18</c:v>
                </c:pt>
                <c:pt idx="486">
                  <c:v>1</c:v>
                </c:pt>
                <c:pt idx="487">
                  <c:v>6</c:v>
                </c:pt>
                <c:pt idx="488">
                  <c:v>5</c:v>
                </c:pt>
                <c:pt idx="489">
                  <c:v>4</c:v>
                </c:pt>
                <c:pt idx="490">
                  <c:v>5.5</c:v>
                </c:pt>
                <c:pt idx="491">
                  <c:v>20</c:v>
                </c:pt>
                <c:pt idx="492">
                  <c:v>2.5</c:v>
                </c:pt>
                <c:pt idx="493">
                  <c:v>18</c:v>
                </c:pt>
                <c:pt idx="494">
                  <c:v>1</c:v>
                </c:pt>
                <c:pt idx="495">
                  <c:v>6</c:v>
                </c:pt>
                <c:pt idx="496">
                  <c:v>5</c:v>
                </c:pt>
                <c:pt idx="497">
                  <c:v>4</c:v>
                </c:pt>
                <c:pt idx="498">
                  <c:v>5.5</c:v>
                </c:pt>
                <c:pt idx="49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CA-4342-87AF-256BB5683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6130080"/>
        <c:axId val="366132480"/>
      </c:lineChart>
      <c:catAx>
        <c:axId val="366130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132480"/>
        <c:crosses val="autoZero"/>
        <c:auto val="1"/>
        <c:lblAlgn val="ctr"/>
        <c:lblOffset val="100"/>
        <c:noMultiLvlLbl val="0"/>
      </c:catAx>
      <c:valAx>
        <c:axId val="36613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130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6</xdr:row>
      <xdr:rowOff>118110</xdr:rowOff>
    </xdr:from>
    <xdr:to>
      <xdr:col>14</xdr:col>
      <xdr:colOff>428625</xdr:colOff>
      <xdr:row>26</xdr:row>
      <xdr:rowOff>127635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30D5DA-F535-CF33-1D44-4D97A71078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</xdr:row>
      <xdr:rowOff>175260</xdr:rowOff>
    </xdr:from>
    <xdr:to>
      <xdr:col>14</xdr:col>
      <xdr:colOff>137160</xdr:colOff>
      <xdr:row>14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F08D7D-1821-AB3B-A781-95FD8D464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</xdr:row>
      <xdr:rowOff>80010</xdr:rowOff>
    </xdr:from>
    <xdr:to>
      <xdr:col>8</xdr:col>
      <xdr:colOff>182880</xdr:colOff>
      <xdr:row>16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653278-830C-FA55-D3CE-CEB8EE6EFE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16</xdr:row>
      <xdr:rowOff>0</xdr:rowOff>
    </xdr:to>
    <xdr:graphicFrame macro="">
      <xdr:nvGraphicFramePr>
        <xdr:cNvPr id="2" name="Chart 1" descr="Chart type: Line. UnitPrice shows a repeating pattern.&#10;&#10;Description automatically generated">
          <a:extLst>
            <a:ext uri="{FF2B5EF4-FFF2-40B4-BE49-F238E27FC236}">
              <a16:creationId xmlns:a16="http://schemas.microsoft.com/office/drawing/2014/main" id="{1E277437-CFD2-46A8-FAF1-CEDDE8F136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vitra raman" refreshedDate="46126.481440046293" createdVersion="8" refreshedVersion="8" minRefreshableVersion="3" recordCount="500" xr:uid="{8B06B5F3-C41E-4065-B37A-E8817AE76C97}">
  <cacheSource type="worksheet">
    <worksheetSource ref="A1:I501" sheet="Sheet1"/>
  </cacheSource>
  <cacheFields count="9">
    <cacheField name="OrderID" numFmtId="0">
      <sharedItems/>
    </cacheField>
    <cacheField name="Date" numFmtId="14">
      <sharedItems containsSemiMixedTypes="0" containsNonDate="0" containsDate="1" containsString="0" minDate="2025-01-01T00:00:00" maxDate="2026-05-16T00:00:00" count="500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</sharedItems>
    </cacheField>
    <cacheField name="Product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2" maxValue="120"/>
    </cacheField>
    <cacheField name="UnitPrice" numFmtId="0">
      <sharedItems containsSemiMixedTypes="0" containsString="0" containsNumber="1" minValue="1" maxValue="20"/>
    </cacheField>
    <cacheField name="TotalSales" numFmtId="0">
      <sharedItems containsString="0" containsBlank="1" containsNumber="1" minValue="25" maxValue="324"/>
    </cacheField>
    <cacheField name="Region" numFmtId="0">
      <sharedItems/>
    </cacheField>
    <cacheField name="N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vitra raman" refreshedDate="46126.49638449074" backgroundQuery="1" createdVersion="8" refreshedVersion="8" minRefreshableVersion="3" recordCount="0" supportSubquery="1" supportAdvancedDrill="1" xr:uid="{32A60A3B-57BD-463A-AE6E-70A6FF498D1C}">
  <cacheSource type="external" connectionId="1"/>
  <cacheFields count="5">
    <cacheField name="[Range].[Date (Month)].[Date (Month)]" caption="Date (Month)" numFmtId="0" hierarchy="13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Range].[Date (Quarter)].[Date (Quarter)]" caption="Date (Quarter)" numFmtId="0" hierarchy="12" level="1">
      <sharedItems count="4">
        <s v="Qtr1"/>
        <s v="Qtr2"/>
        <s v="Qtr3"/>
        <s v="Qtr4"/>
      </sharedItems>
    </cacheField>
    <cacheField name="[Range].[Date (Year)].[Date (Year)]" caption="Date (Year)" numFmtId="0" hierarchy="11" level="1">
      <sharedItems count="2">
        <s v="2025"/>
        <s v="2026"/>
      </sharedItems>
    </cacheField>
    <cacheField name="[Range].[Product].[Product]" caption="Product" numFmtId="0" hierarchy="2" level="1">
      <sharedItems count="8">
        <s v="Almond Bark"/>
        <s v="Assorted Truffles Box"/>
        <s v="Caramel Sea Salt Squares"/>
        <s v="Dark Chocolate Bar"/>
        <s v="Hazelnut Praline"/>
        <s v="Milk Chocolate Bar"/>
        <s v="Mint Chocolate Coin"/>
        <s v="White Chocolate Raspberry"/>
      </sharedItems>
    </cacheField>
    <cacheField name="[Measures].[Sum of TotalSales]" caption="Sum of TotalSales" numFmtId="0" hierarchy="17" level="32767"/>
  </cacheFields>
  <cacheHierarchies count="19"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Product]" caption="Product" attribute="1" defaultMemberUniqueName="[Range].[Product].[All]" allUniqueName="[Range].[Product].[All]" dimensionUniqueName="[Range]" displayFolder="" count="2" memberValueDatatype="130" unbalanced="0">
      <fieldsUsage count="2">
        <fieldUsage x="-1"/>
        <fieldUsage x="3"/>
      </fieldsUsage>
    </cacheHierarchy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TotalSales]" caption="TotalSales" attribute="1" defaultMemberUniqueName="[Range].[TotalSales].[All]" allUniqueName="[Range].[TotalSales].[All]" dimensionUniqueName="[Range]" displayFolder="" count="0" memberValueDatatype="5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N]" caption="N" attribute="1" defaultMemberUniqueName="[Range].[N].[All]" allUniqueName="[Range].[N].[All]" dimensionUniqueName="[Range]" displayFolder="" count="0" memberValueDatatype="130" unbalanced="0"/>
    <cacheHierarchy uniqueName="[Range].[Statiscs]" caption="Statiscs" attribute="1" defaultMemberUniqueName="[Range].[Statiscs].[All]" allUniqueName="[Range].[Statiscs].[All]" dimensionUniqueName="[Range]" displayFolder="" count="0" memberValueDatatype="130" unbalanced="0"/>
    <cacheHierarchy uniqueName="[Range].[Result]" caption="Result" attribute="1" defaultMemberUniqueName="[Range].[Result].[All]" allUniqueName="[Range].[Result].[All]" dimensionUniqueName="[Range]" displayFolder="" count="0" memberValueDatatype="5" unbalanced="0"/>
    <cacheHierarchy uniqueName="[Range].[Date (Year)]" caption="Date (Year)" attribute="1" defaultMemberUniqueName="[Range].[Date (Year)].[All]" allUniqueName="[Range].[Date (Year)].[All]" dimensionUniqueName="[Range]" displayFolder="" count="2" memberValueDatatype="130" unbalanced="0">
      <fieldsUsage count="2">
        <fieldUsage x="-1"/>
        <fieldUsage x="2"/>
      </fieldsUsage>
    </cacheHierarchy>
    <cacheHierarchy uniqueName="[Range].[Date (Quarter)]" caption="Date (Quarter)" attribute="1" defaultMemberUniqueName="[Range].[Date (Quarter)].[All]" allUniqueName="[Range].[Date (Quarter)].[All]" dimensionUniqueName="[Range]" displayFolder="" count="2" memberValueDatatype="130" unbalanced="0">
      <fieldsUsage count="2">
        <fieldUsage x="-1"/>
        <fieldUsage x="1"/>
      </fieldsUsage>
    </cacheHierarchy>
    <cacheHierarchy uniqueName="[Range].[Date (Month)]" caption="Date (Month)" attribute="1" defaultMemberUniqueName="[Range].[Date (Month)].[All]" allUniqueName="[Range].[Date (Month)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Sales]" caption="Sum of TotalSales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UnitPrice]" caption="Sum of UnitPric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vitra raman" refreshedDate="46126.499795370371" backgroundQuery="1" createdVersion="8" refreshedVersion="8" minRefreshableVersion="3" recordCount="0" supportSubquery="1" supportAdvancedDrill="1" xr:uid="{23C70E5C-5880-40D9-8C7A-A9500DF4561C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Range].[Product].[Product]" caption="Product" numFmtId="0" hierarchy="2" level="1">
      <sharedItems count="8">
        <s v="Almond Bark"/>
        <s v="Assorted Truffles Box"/>
        <s v="Caramel Sea Salt Squares"/>
        <s v="Dark Chocolate Bar"/>
        <s v="Hazelnut Praline"/>
        <s v="Milk Chocolate Bar"/>
        <s v="Mint Chocolate Coin"/>
        <s v="White Chocolate Raspberry"/>
      </sharedItems>
    </cacheField>
    <cacheField name="[Measures].[Sum of UnitPrice]" caption="Sum of UnitPrice" numFmtId="0" hierarchy="18" level="32767"/>
    <cacheField name="[Measures].[Sum of TotalSales]" caption="Sum of TotalSales" numFmtId="0" hierarchy="17" level="32767"/>
  </cacheFields>
  <cacheHierarchies count="19"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Product]" caption="Product" attribute="1" defaultMemberUniqueName="[Range].[Product].[All]" allUniqueName="[Range].[Produc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TotalSales]" caption="TotalSales" attribute="1" defaultMemberUniqueName="[Range].[TotalSales].[All]" allUniqueName="[Range].[TotalSales].[All]" dimensionUniqueName="[Range]" displayFolder="" count="0" memberValueDatatype="5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N]" caption="N" attribute="1" defaultMemberUniqueName="[Range].[N].[All]" allUniqueName="[Range].[N].[All]" dimensionUniqueName="[Range]" displayFolder="" count="0" memberValueDatatype="130" unbalanced="0"/>
    <cacheHierarchy uniqueName="[Range].[Statiscs]" caption="Statiscs" attribute="1" defaultMemberUniqueName="[Range].[Statiscs].[All]" allUniqueName="[Range].[Statiscs].[All]" dimensionUniqueName="[Range]" displayFolder="" count="2" memberValueDatatype="130" unbalanced="0"/>
    <cacheHierarchy uniqueName="[Range].[Result]" caption="Result" attribute="1" defaultMemberUniqueName="[Range].[Result].[All]" allUniqueName="[Range].[Result].[All]" dimensionUniqueName="[Range]" displayFolder="" count="0" memberValueDatatype="5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Sales]" caption="Sum of TotalSales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UnitPrice]" caption="Sum of UnitPric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206203978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RD-1001"/>
    <x v="0"/>
    <s v="Dark Chocolate Bar"/>
    <s v="Bars"/>
    <n v="10"/>
    <n v="5"/>
    <n v="50"/>
    <s v="North"/>
    <m/>
  </r>
  <r>
    <s v="ORD-1002"/>
    <x v="1"/>
    <s v="Milk Chocolate Bar"/>
    <s v="Bars"/>
    <n v="25"/>
    <n v="4"/>
    <n v="100"/>
    <s v="South"/>
    <m/>
  </r>
  <r>
    <s v="ORD-1003"/>
    <x v="2"/>
    <s v="White Chocolate Raspberry"/>
    <s v="Bars"/>
    <n v="15"/>
    <n v="5.5"/>
    <m/>
    <s v="East"/>
    <m/>
  </r>
  <r>
    <s v="ORD-1004"/>
    <x v="3"/>
    <s v="Assorted Truffles Box"/>
    <s v="Boxes"/>
    <n v="5"/>
    <n v="20"/>
    <n v="100"/>
    <s v="West"/>
    <m/>
  </r>
  <r>
    <s v="ORD-1005"/>
    <x v="4"/>
    <s v="Caramel Sea Salt Squares"/>
    <s v="Candies"/>
    <n v="30"/>
    <n v="2.5"/>
    <n v="75"/>
    <s v="North"/>
    <m/>
  </r>
  <r>
    <s v="ORD-1006"/>
    <x v="5"/>
    <s v="Hazelnut Praline"/>
    <s v="Boxes"/>
    <n v="8"/>
    <n v="18"/>
    <n v="144"/>
    <s v="South"/>
    <m/>
  </r>
  <r>
    <s v="ORD-1007"/>
    <x v="6"/>
    <s v="Mint Chocolate Coin"/>
    <s v="Candies"/>
    <n v="50"/>
    <n v="1"/>
    <n v="50"/>
    <s v="East"/>
    <m/>
  </r>
  <r>
    <s v="ORD-1008"/>
    <x v="7"/>
    <s v="Almond Bark"/>
    <s v="Barks"/>
    <n v="12"/>
    <n v="6"/>
    <n v="72"/>
    <s v="West"/>
    <m/>
  </r>
  <r>
    <s v="ORD-1009"/>
    <x v="8"/>
    <s v="Dark Chocolate Bar"/>
    <s v="Bars"/>
    <n v="20"/>
    <n v="5"/>
    <n v="100"/>
    <s v="North"/>
    <m/>
  </r>
  <r>
    <s v="ORD-1010"/>
    <x v="9"/>
    <s v="Milk Chocolate Bar"/>
    <s v="Bars"/>
    <n v="15"/>
    <n v="4"/>
    <n v="60"/>
    <s v="South"/>
    <m/>
  </r>
  <r>
    <s v="ORD-1011"/>
    <x v="10"/>
    <s v="White Chocolate Raspberry"/>
    <s v="Bars"/>
    <n v="10"/>
    <n v="5.5"/>
    <n v="55"/>
    <s v="East"/>
    <m/>
  </r>
  <r>
    <s v="ORD-1012"/>
    <x v="11"/>
    <s v="Assorted Truffles Box"/>
    <s v="Boxes"/>
    <n v="10"/>
    <n v="20"/>
    <n v="200"/>
    <s v="West"/>
    <m/>
  </r>
  <r>
    <s v="ORD-1013"/>
    <x v="12"/>
    <s v="Caramel Sea Salt Squares"/>
    <s v="Candies"/>
    <n v="40"/>
    <n v="2.5"/>
    <n v="100"/>
    <s v="North"/>
    <m/>
  </r>
  <r>
    <s v="ORD-1014"/>
    <x v="13"/>
    <s v="Hazelnut Praline"/>
    <s v="Boxes"/>
    <n v="12"/>
    <n v="18"/>
    <n v="216"/>
    <s v="South"/>
    <m/>
  </r>
  <r>
    <s v="ORD-1015"/>
    <x v="14"/>
    <s v="Mint Chocolate Coin"/>
    <s v="Candies"/>
    <n v="100"/>
    <n v="1"/>
    <n v="100"/>
    <s v="East"/>
    <m/>
  </r>
  <r>
    <s v="ORD-1016"/>
    <x v="15"/>
    <s v="Almond Bark"/>
    <s v="Barks"/>
    <n v="15"/>
    <n v="6"/>
    <n v="90"/>
    <s v="West"/>
    <m/>
  </r>
  <r>
    <s v="ORD-1017"/>
    <x v="16"/>
    <s v="Dark Chocolate Bar"/>
    <s v="Bars"/>
    <n v="5"/>
    <n v="5"/>
    <n v="25"/>
    <s v="North"/>
    <m/>
  </r>
  <r>
    <s v="ORD-1018"/>
    <x v="17"/>
    <s v="Milk Chocolate Bar"/>
    <s v="Bars"/>
    <n v="30"/>
    <n v="4"/>
    <n v="120"/>
    <s v="South"/>
    <m/>
  </r>
  <r>
    <s v="ORD-1019"/>
    <x v="18"/>
    <s v="White Chocolate Raspberry"/>
    <s v="Bars"/>
    <n v="20"/>
    <n v="5.5"/>
    <n v="110"/>
    <s v="East"/>
    <m/>
  </r>
  <r>
    <s v="ORD-1020"/>
    <x v="19"/>
    <s v="Assorted Truffles Box"/>
    <s v="Boxes"/>
    <n v="2"/>
    <n v="20"/>
    <n v="40"/>
    <s v="West"/>
    <m/>
  </r>
  <r>
    <s v="ORD-1021"/>
    <x v="20"/>
    <s v="Caramel Sea Salt Squares"/>
    <s v="Candies"/>
    <n v="25"/>
    <n v="2.5"/>
    <n v="62.5"/>
    <s v="North"/>
    <m/>
  </r>
  <r>
    <s v="ORD-1022"/>
    <x v="21"/>
    <s v="Hazelnut Praline"/>
    <s v="Boxes"/>
    <n v="4"/>
    <n v="18"/>
    <n v="72"/>
    <s v="South"/>
    <m/>
  </r>
  <r>
    <s v="ORD-1023"/>
    <x v="22"/>
    <s v="Mint Chocolate Coin"/>
    <s v="Candies"/>
    <n v="60"/>
    <n v="1"/>
    <n v="60"/>
    <s v="East"/>
    <m/>
  </r>
  <r>
    <s v="ORD-1024"/>
    <x v="23"/>
    <s v="Almond Bark"/>
    <s v="Barks"/>
    <n v="8"/>
    <n v="6"/>
    <n v="48"/>
    <s v="West"/>
    <m/>
  </r>
  <r>
    <s v="ORD-1025"/>
    <x v="24"/>
    <s v="Dark Chocolate Bar"/>
    <s v="Bars"/>
    <n v="12"/>
    <n v="5"/>
    <n v="60"/>
    <s v="North"/>
    <m/>
  </r>
  <r>
    <s v="ORD-1026"/>
    <x v="25"/>
    <s v="Milk Chocolate Bar"/>
    <s v="Bars"/>
    <n v="18"/>
    <n v="4"/>
    <n v="72"/>
    <s v="South"/>
    <m/>
  </r>
  <r>
    <s v="ORD-1027"/>
    <x v="26"/>
    <s v="White Chocolate Raspberry"/>
    <s v="Bars"/>
    <n v="8"/>
    <n v="5.5"/>
    <n v="44"/>
    <s v="East"/>
    <m/>
  </r>
  <r>
    <s v="ORD-1028"/>
    <x v="27"/>
    <s v="Assorted Truffles Box"/>
    <s v="Boxes"/>
    <n v="7"/>
    <n v="20"/>
    <n v="140"/>
    <s v="West"/>
    <m/>
  </r>
  <r>
    <s v="ORD-1029"/>
    <x v="28"/>
    <s v="Caramel Sea Salt Squares"/>
    <s v="Candies"/>
    <n v="35"/>
    <n v="2.5"/>
    <n v="87.5"/>
    <s v="North"/>
    <m/>
  </r>
  <r>
    <s v="ORD-1030"/>
    <x v="29"/>
    <s v="Hazelnut Praline"/>
    <s v="Boxes"/>
    <n v="9"/>
    <n v="18"/>
    <n v="162"/>
    <s v="South"/>
    <m/>
  </r>
  <r>
    <s v="ORD-1031"/>
    <x v="30"/>
    <s v="Mint Chocolate Coin"/>
    <s v="Candies"/>
    <n v="80"/>
    <n v="1"/>
    <n v="80"/>
    <s v="East"/>
    <m/>
  </r>
  <r>
    <s v="ORD-1032"/>
    <x v="31"/>
    <s v="Almond Bark"/>
    <s v="Barks"/>
    <n v="20"/>
    <n v="6"/>
    <n v="120"/>
    <s v="West"/>
    <m/>
  </r>
  <r>
    <s v="ORD-1033"/>
    <x v="32"/>
    <s v="Dark Chocolate Bar"/>
    <s v="Bars"/>
    <n v="14"/>
    <n v="5"/>
    <n v="70"/>
    <s v="North"/>
    <m/>
  </r>
  <r>
    <s v="ORD-1034"/>
    <x v="33"/>
    <s v="Milk Chocolate Bar"/>
    <s v="Bars"/>
    <n v="22"/>
    <n v="4"/>
    <n v="88"/>
    <s v="South"/>
    <m/>
  </r>
  <r>
    <s v="ORD-1035"/>
    <x v="34"/>
    <s v="White Chocolate Raspberry"/>
    <s v="Bars"/>
    <n v="12"/>
    <n v="5.5"/>
    <n v="66"/>
    <s v="East"/>
    <m/>
  </r>
  <r>
    <s v="ORD-1036"/>
    <x v="35"/>
    <s v="Assorted Truffles Box"/>
    <s v="Boxes"/>
    <n v="4"/>
    <n v="20"/>
    <n v="80"/>
    <s v="West"/>
    <m/>
  </r>
  <r>
    <s v="ORD-1037"/>
    <x v="36"/>
    <s v="Caramel Sea Salt Squares"/>
    <s v="Candies"/>
    <n v="15"/>
    <n v="2.5"/>
    <n v="37.5"/>
    <s v="North"/>
    <m/>
  </r>
  <r>
    <s v="ORD-1038"/>
    <x v="37"/>
    <s v="Hazelnut Praline"/>
    <s v="Boxes"/>
    <n v="6"/>
    <n v="18"/>
    <n v="108"/>
    <s v="South"/>
    <m/>
  </r>
  <r>
    <s v="ORD-1039"/>
    <x v="38"/>
    <s v="Mint Chocolate Coin"/>
    <s v="Candies"/>
    <n v="40"/>
    <n v="1"/>
    <n v="40"/>
    <s v="East"/>
    <m/>
  </r>
  <r>
    <s v="ORD-1040"/>
    <x v="39"/>
    <s v="Almond Bark"/>
    <s v="Barks"/>
    <n v="10"/>
    <n v="6"/>
    <n v="60"/>
    <s v="West"/>
    <m/>
  </r>
  <r>
    <s v="ORD-1041"/>
    <x v="40"/>
    <s v="Dark Chocolate Bar"/>
    <s v="Bars"/>
    <n v="16"/>
    <n v="5"/>
    <n v="80"/>
    <s v="North"/>
    <m/>
  </r>
  <r>
    <s v="ORD-1042"/>
    <x v="41"/>
    <s v="Milk Chocolate Bar"/>
    <s v="Bars"/>
    <n v="28"/>
    <n v="4"/>
    <n v="112"/>
    <s v="South"/>
    <m/>
  </r>
  <r>
    <s v="ORD-1043"/>
    <x v="42"/>
    <s v="White Chocolate Raspberry"/>
    <s v="Bars"/>
    <n v="18"/>
    <n v="5.5"/>
    <n v="99"/>
    <s v="East"/>
    <m/>
  </r>
  <r>
    <s v="ORD-1044"/>
    <x v="43"/>
    <s v="Assorted Truffles Box"/>
    <s v="Boxes"/>
    <n v="9"/>
    <n v="20"/>
    <n v="180"/>
    <s v="West"/>
    <m/>
  </r>
  <r>
    <s v="ORD-1045"/>
    <x v="44"/>
    <s v="Caramel Sea Salt Squares"/>
    <s v="Candies"/>
    <n v="50"/>
    <n v="2.5"/>
    <n v="125"/>
    <s v="North"/>
    <m/>
  </r>
  <r>
    <s v="ORD-1046"/>
    <x v="45"/>
    <s v="Hazelnut Praline"/>
    <s v="Boxes"/>
    <n v="15"/>
    <n v="18"/>
    <n v="270"/>
    <s v="South"/>
    <m/>
  </r>
  <r>
    <s v="ORD-1047"/>
    <x v="46"/>
    <s v="Mint Chocolate Coin"/>
    <s v="Candies"/>
    <n v="120"/>
    <n v="1"/>
    <n v="120"/>
    <s v="East"/>
    <m/>
  </r>
  <r>
    <s v="ORD-1048"/>
    <x v="47"/>
    <s v="Almond Bark"/>
    <s v="Barks"/>
    <n v="25"/>
    <n v="6"/>
    <n v="150"/>
    <s v="West"/>
    <m/>
  </r>
  <r>
    <s v="ORD-1049"/>
    <x v="48"/>
    <s v="Dark Chocolate Bar"/>
    <s v="Bars"/>
    <n v="8"/>
    <n v="5"/>
    <n v="40"/>
    <s v="North"/>
    <m/>
  </r>
  <r>
    <s v="ORD-1050"/>
    <x v="49"/>
    <s v="Milk Chocolate Bar"/>
    <s v="Bars"/>
    <n v="12"/>
    <n v="4"/>
    <n v="48"/>
    <s v="South"/>
    <m/>
  </r>
  <r>
    <s v="ORD-1051"/>
    <x v="50"/>
    <s v="White Chocolate Raspberry"/>
    <s v="Bars"/>
    <n v="6"/>
    <n v="5.5"/>
    <n v="33"/>
    <s v="East"/>
    <m/>
  </r>
  <r>
    <s v="ORD-1052"/>
    <x v="51"/>
    <s v="Assorted Truffles Box"/>
    <s v="Boxes"/>
    <n v="3"/>
    <n v="20"/>
    <n v="60"/>
    <s v="West"/>
    <m/>
  </r>
  <r>
    <s v="ORD-1053"/>
    <x v="52"/>
    <s v="Caramel Sea Salt Squares"/>
    <s v="Candies"/>
    <n v="20"/>
    <n v="2.5"/>
    <n v="50"/>
    <s v="North"/>
    <m/>
  </r>
  <r>
    <s v="ORD-1054"/>
    <x v="53"/>
    <s v="Hazelnut Praline"/>
    <s v="Boxes"/>
    <n v="5"/>
    <n v="18"/>
    <n v="90"/>
    <s v="South"/>
    <m/>
  </r>
  <r>
    <s v="ORD-1055"/>
    <x v="54"/>
    <s v="Mint Chocolate Coin"/>
    <s v="Candies"/>
    <n v="30"/>
    <n v="1"/>
    <n v="30"/>
    <s v="East"/>
    <m/>
  </r>
  <r>
    <s v="ORD-1056"/>
    <x v="55"/>
    <s v="Almond Bark"/>
    <s v="Barks"/>
    <n v="7"/>
    <n v="6"/>
    <n v="42"/>
    <s v="West"/>
    <m/>
  </r>
  <r>
    <s v="ORD-1057"/>
    <x v="56"/>
    <s v="Dark Chocolate Bar"/>
    <s v="Bars"/>
    <n v="11"/>
    <n v="5"/>
    <n v="55"/>
    <s v="North"/>
    <m/>
  </r>
  <r>
    <s v="ORD-1058"/>
    <x v="57"/>
    <s v="Milk Chocolate Bar"/>
    <s v="Bars"/>
    <n v="16"/>
    <n v="4"/>
    <n v="64"/>
    <s v="South"/>
    <m/>
  </r>
  <r>
    <s v="ORD-1059"/>
    <x v="58"/>
    <s v="White Chocolate Raspberry"/>
    <s v="Bars"/>
    <n v="9"/>
    <n v="5.5"/>
    <n v="49.5"/>
    <s v="East"/>
    <m/>
  </r>
  <r>
    <s v="ORD-1060"/>
    <x v="59"/>
    <s v="Assorted Truffles Box"/>
    <s v="Boxes"/>
    <n v="6"/>
    <n v="20"/>
    <n v="120"/>
    <s v="West"/>
    <m/>
  </r>
  <r>
    <s v="ORD-1061"/>
    <x v="60"/>
    <s v="Caramel Sea Salt Squares"/>
    <s v="Candies"/>
    <n v="28"/>
    <n v="2.5"/>
    <n v="70"/>
    <s v="North"/>
    <m/>
  </r>
  <r>
    <s v="ORD-1062"/>
    <x v="61"/>
    <s v="Hazelnut Praline"/>
    <s v="Boxes"/>
    <n v="7"/>
    <n v="18"/>
    <n v="126"/>
    <s v="South"/>
    <m/>
  </r>
  <r>
    <s v="ORD-1063"/>
    <x v="62"/>
    <s v="Mint Chocolate Coin"/>
    <s v="Candies"/>
    <n v="45"/>
    <n v="1"/>
    <n v="45"/>
    <s v="East"/>
    <m/>
  </r>
  <r>
    <s v="ORD-1064"/>
    <x v="63"/>
    <s v="Almond Bark"/>
    <s v="Barks"/>
    <n v="11"/>
    <n v="6"/>
    <n v="66"/>
    <s v="West"/>
    <m/>
  </r>
  <r>
    <s v="ORD-1065"/>
    <x v="64"/>
    <s v="Dark Chocolate Bar"/>
    <s v="Bars"/>
    <n v="13"/>
    <n v="5"/>
    <n v="65"/>
    <s v="North"/>
    <m/>
  </r>
  <r>
    <s v="ORD-1066"/>
    <x v="65"/>
    <s v="Milk Chocolate Bar"/>
    <s v="Bars"/>
    <n v="19"/>
    <n v="4"/>
    <n v="76"/>
    <s v="South"/>
    <m/>
  </r>
  <r>
    <s v="ORD-1067"/>
    <x v="66"/>
    <s v="White Chocolate Raspberry"/>
    <s v="Bars"/>
    <n v="11"/>
    <n v="5.5"/>
    <n v="60.5"/>
    <s v="East"/>
    <m/>
  </r>
  <r>
    <s v="ORD-1068"/>
    <x v="67"/>
    <s v="Assorted Truffles Box"/>
    <s v="Boxes"/>
    <n v="8"/>
    <n v="20"/>
    <n v="160"/>
    <s v="West"/>
    <m/>
  </r>
  <r>
    <s v="ORD-1069"/>
    <x v="68"/>
    <s v="Caramel Sea Salt Squares"/>
    <s v="Candies"/>
    <n v="32"/>
    <n v="2.5"/>
    <n v="80"/>
    <s v="North"/>
    <m/>
  </r>
  <r>
    <s v="ORD-1070"/>
    <x v="69"/>
    <s v="Hazelnut Praline"/>
    <s v="Boxes"/>
    <n v="10"/>
    <n v="18"/>
    <n v="180"/>
    <s v="South"/>
    <m/>
  </r>
  <r>
    <s v="ORD-1071"/>
    <x v="70"/>
    <s v="Mint Chocolate Coin"/>
    <s v="Candies"/>
    <n v="75"/>
    <n v="1"/>
    <n v="75"/>
    <s v="East"/>
    <m/>
  </r>
  <r>
    <s v="ORD-1072"/>
    <x v="71"/>
    <s v="Almond Bark"/>
    <s v="Barks"/>
    <n v="14"/>
    <n v="6"/>
    <n v="84"/>
    <s v="West"/>
    <m/>
  </r>
  <r>
    <s v="ORD-1073"/>
    <x v="72"/>
    <s v="Dark Chocolate Bar"/>
    <s v="Bars"/>
    <n v="15"/>
    <n v="5"/>
    <n v="75"/>
    <s v="North"/>
    <m/>
  </r>
  <r>
    <s v="ORD-1074"/>
    <x v="73"/>
    <s v="Milk Chocolate Bar"/>
    <s v="Bars"/>
    <n v="24"/>
    <n v="4"/>
    <n v="96"/>
    <s v="South"/>
    <m/>
  </r>
  <r>
    <s v="ORD-1075"/>
    <x v="74"/>
    <s v="White Chocolate Raspberry"/>
    <s v="Bars"/>
    <n v="13"/>
    <n v="5.5"/>
    <n v="71.5"/>
    <s v="East"/>
    <m/>
  </r>
  <r>
    <s v="ORD-1076"/>
    <x v="75"/>
    <s v="Assorted Truffles Box"/>
    <s v="Boxes"/>
    <n v="5"/>
    <n v="20"/>
    <n v="100"/>
    <s v="West"/>
    <m/>
  </r>
  <r>
    <s v="ORD-1077"/>
    <x v="76"/>
    <s v="Caramel Sea Salt Squares"/>
    <s v="Candies"/>
    <n v="18"/>
    <n v="2.5"/>
    <n v="45"/>
    <s v="North"/>
    <m/>
  </r>
  <r>
    <s v="ORD-1078"/>
    <x v="77"/>
    <s v="Hazelnut Praline"/>
    <s v="Boxes"/>
    <n v="6"/>
    <n v="18"/>
    <n v="108"/>
    <s v="South"/>
    <m/>
  </r>
  <r>
    <s v="ORD-1079"/>
    <x v="78"/>
    <s v="Mint Chocolate Coin"/>
    <s v="Candies"/>
    <n v="55"/>
    <n v="1"/>
    <n v="55"/>
    <s v="East"/>
    <m/>
  </r>
  <r>
    <s v="ORD-1080"/>
    <x v="79"/>
    <s v="Almond Bark"/>
    <s v="Barks"/>
    <n v="9"/>
    <n v="6"/>
    <n v="54"/>
    <s v="West"/>
    <m/>
  </r>
  <r>
    <s v="ORD-1081"/>
    <x v="80"/>
    <s v="Dark Chocolate Bar"/>
    <s v="Bars"/>
    <n v="17"/>
    <n v="5"/>
    <n v="85"/>
    <s v="North"/>
    <m/>
  </r>
  <r>
    <s v="ORD-1082"/>
    <x v="81"/>
    <s v="Milk Chocolate Bar"/>
    <s v="Bars"/>
    <n v="26"/>
    <n v="4"/>
    <n v="104"/>
    <s v="South"/>
    <m/>
  </r>
  <r>
    <s v="ORD-1083"/>
    <x v="82"/>
    <s v="White Chocolate Raspberry"/>
    <s v="Bars"/>
    <n v="16"/>
    <n v="5.5"/>
    <n v="88"/>
    <s v="East"/>
    <m/>
  </r>
  <r>
    <s v="ORD-1084"/>
    <x v="83"/>
    <s v="Assorted Truffles Box"/>
    <s v="Boxes"/>
    <n v="11"/>
    <n v="20"/>
    <n v="220"/>
    <s v="West"/>
    <m/>
  </r>
  <r>
    <s v="ORD-1085"/>
    <x v="84"/>
    <s v="Caramel Sea Salt Squares"/>
    <s v="Candies"/>
    <n v="45"/>
    <n v="2.5"/>
    <n v="112.5"/>
    <s v="North"/>
    <m/>
  </r>
  <r>
    <s v="ORD-1086"/>
    <x v="85"/>
    <s v="Hazelnut Praline"/>
    <s v="Boxes"/>
    <n v="14"/>
    <n v="18"/>
    <n v="252"/>
    <s v="South"/>
    <m/>
  </r>
  <r>
    <s v="ORD-1087"/>
    <x v="86"/>
    <s v="Mint Chocolate Coin"/>
    <s v="Candies"/>
    <n v="95"/>
    <n v="1"/>
    <n v="95"/>
    <s v="East"/>
    <m/>
  </r>
  <r>
    <s v="ORD-1088"/>
    <x v="87"/>
    <s v="Almond Bark"/>
    <s v="Barks"/>
    <n v="18"/>
    <n v="6"/>
    <n v="108"/>
    <s v="West"/>
    <m/>
  </r>
  <r>
    <s v="ORD-1089"/>
    <x v="88"/>
    <s v="Dark Chocolate Bar"/>
    <s v="Bars"/>
    <n v="7"/>
    <n v="5"/>
    <n v="35"/>
    <s v="North"/>
    <m/>
  </r>
  <r>
    <s v="ORD-1090"/>
    <x v="89"/>
    <s v="Milk Chocolate Bar"/>
    <s v="Bars"/>
    <n v="14"/>
    <n v="4"/>
    <n v="56"/>
    <s v="South"/>
    <m/>
  </r>
  <r>
    <s v="ORD-1091"/>
    <x v="90"/>
    <s v="White Chocolate Raspberry"/>
    <s v="Bars"/>
    <n v="5"/>
    <n v="5.5"/>
    <n v="27.5"/>
    <s v="East"/>
    <m/>
  </r>
  <r>
    <s v="ORD-1092"/>
    <x v="91"/>
    <s v="Assorted Truffles Box"/>
    <s v="Boxes"/>
    <n v="2"/>
    <n v="20"/>
    <n v="40"/>
    <s v="West"/>
    <m/>
  </r>
  <r>
    <s v="ORD-1093"/>
    <x v="92"/>
    <s v="Caramel Sea Salt Squares"/>
    <s v="Candies"/>
    <n v="22"/>
    <n v="2.5"/>
    <n v="55"/>
    <s v="North"/>
    <m/>
  </r>
  <r>
    <s v="ORD-1094"/>
    <x v="93"/>
    <s v="Hazelnut Praline"/>
    <s v="Boxes"/>
    <n v="5"/>
    <n v="18"/>
    <n v="90"/>
    <s v="South"/>
    <m/>
  </r>
  <r>
    <s v="ORD-1095"/>
    <x v="94"/>
    <s v="Mint Chocolate Coin"/>
    <s v="Candies"/>
    <n v="35"/>
    <n v="1"/>
    <n v="35"/>
    <s v="East"/>
    <m/>
  </r>
  <r>
    <s v="ORD-1096"/>
    <x v="95"/>
    <s v="Almond Bark"/>
    <s v="Barks"/>
    <n v="8"/>
    <n v="6"/>
    <n v="48"/>
    <s v="West"/>
    <m/>
  </r>
  <r>
    <s v="ORD-1097"/>
    <x v="96"/>
    <s v="Dark Chocolate Bar"/>
    <s v="Bars"/>
    <n v="10"/>
    <n v="5"/>
    <n v="50"/>
    <s v="North"/>
    <m/>
  </r>
  <r>
    <s v="ORD-1098"/>
    <x v="97"/>
    <s v="Milk Chocolate Bar"/>
    <s v="Bars"/>
    <n v="15"/>
    <n v="4"/>
    <n v="60"/>
    <s v="South"/>
    <m/>
  </r>
  <r>
    <s v="ORD-1099"/>
    <x v="98"/>
    <s v="White Chocolate Raspberry"/>
    <s v="Bars"/>
    <n v="10"/>
    <n v="5.5"/>
    <n v="55"/>
    <s v="East"/>
    <m/>
  </r>
  <r>
    <s v="ORD-1100"/>
    <x v="99"/>
    <s v="Assorted Truffles Box"/>
    <s v="Boxes"/>
    <n v="8"/>
    <n v="20"/>
    <n v="160"/>
    <s v="West"/>
    <m/>
  </r>
  <r>
    <s v="ORD-1101"/>
    <x v="100"/>
    <s v="Caramel Sea Salt Squares"/>
    <s v="Candies"/>
    <n v="30"/>
    <n v="2.5"/>
    <n v="75"/>
    <s v="North"/>
    <m/>
  </r>
  <r>
    <s v="ORD-1102"/>
    <x v="101"/>
    <s v="Hazelnut Praline"/>
    <s v="Boxes"/>
    <n v="9"/>
    <n v="18"/>
    <n v="162"/>
    <s v="South"/>
    <m/>
  </r>
  <r>
    <s v="ORD-1103"/>
    <x v="102"/>
    <s v="Mint Chocolate Coin"/>
    <s v="Candies"/>
    <n v="65"/>
    <n v="1"/>
    <n v="65"/>
    <s v="East"/>
    <m/>
  </r>
  <r>
    <s v="ORD-1104"/>
    <x v="103"/>
    <s v="Almond Bark"/>
    <s v="Barks"/>
    <n v="12"/>
    <n v="6"/>
    <n v="72"/>
    <s v="West"/>
    <m/>
  </r>
  <r>
    <s v="ORD-1105"/>
    <x v="104"/>
    <s v="Dark Chocolate Bar"/>
    <s v="Bars"/>
    <n v="12"/>
    <n v="5"/>
    <n v="60"/>
    <s v="North"/>
    <m/>
  </r>
  <r>
    <s v="ORD-1106"/>
    <x v="105"/>
    <s v="Milk Chocolate Bar"/>
    <s v="Bars"/>
    <n v="21"/>
    <n v="4"/>
    <n v="84"/>
    <s v="South"/>
    <m/>
  </r>
  <r>
    <s v="ORD-1107"/>
    <x v="106"/>
    <s v="White Chocolate Raspberry"/>
    <s v="Bars"/>
    <n v="14"/>
    <n v="5.5"/>
    <n v="77"/>
    <s v="East"/>
    <m/>
  </r>
  <r>
    <s v="ORD-1108"/>
    <x v="107"/>
    <s v="Assorted Truffles Box"/>
    <s v="Boxes"/>
    <n v="6"/>
    <n v="20"/>
    <n v="120"/>
    <s v="West"/>
    <m/>
  </r>
  <r>
    <s v="ORD-1109"/>
    <x v="108"/>
    <s v="Caramel Sea Salt Squares"/>
    <s v="Candies"/>
    <n v="25"/>
    <n v="2.5"/>
    <n v="62.5"/>
    <s v="North"/>
    <m/>
  </r>
  <r>
    <s v="ORD-1110"/>
    <x v="109"/>
    <s v="Hazelnut Praline"/>
    <s v="Boxes"/>
    <n v="8"/>
    <n v="18"/>
    <n v="144"/>
    <s v="South"/>
    <m/>
  </r>
  <r>
    <s v="ORD-1111"/>
    <x v="110"/>
    <s v="Mint Chocolate Coin"/>
    <s v="Candies"/>
    <n v="85"/>
    <n v="1"/>
    <n v="85"/>
    <s v="East"/>
    <m/>
  </r>
  <r>
    <s v="ORD-1112"/>
    <x v="111"/>
    <s v="Almond Bark"/>
    <s v="Barks"/>
    <n v="16"/>
    <n v="6"/>
    <n v="96"/>
    <s v="West"/>
    <m/>
  </r>
  <r>
    <s v="ORD-1113"/>
    <x v="112"/>
    <s v="Dark Chocolate Bar"/>
    <s v="Bars"/>
    <n v="9"/>
    <n v="5"/>
    <n v="45"/>
    <s v="North"/>
    <m/>
  </r>
  <r>
    <s v="ORD-1114"/>
    <x v="113"/>
    <s v="Milk Chocolate Bar"/>
    <s v="Bars"/>
    <n v="17"/>
    <n v="4"/>
    <n v="68"/>
    <s v="South"/>
    <m/>
  </r>
  <r>
    <s v="ORD-1115"/>
    <x v="114"/>
    <s v="White Chocolate Raspberry"/>
    <s v="Bars"/>
    <n v="7"/>
    <n v="5.5"/>
    <n v="38.5"/>
    <s v="East"/>
    <m/>
  </r>
  <r>
    <s v="ORD-1116"/>
    <x v="115"/>
    <s v="Assorted Truffles Box"/>
    <s v="Boxes"/>
    <n v="4"/>
    <n v="20"/>
    <n v="80"/>
    <s v="West"/>
    <m/>
  </r>
  <r>
    <s v="ORD-1117"/>
    <x v="116"/>
    <s v="Caramel Sea Salt Squares"/>
    <s v="Candies"/>
    <n v="20"/>
    <n v="2.5"/>
    <n v="50"/>
    <s v="North"/>
    <m/>
  </r>
  <r>
    <s v="ORD-1118"/>
    <x v="117"/>
    <s v="Hazelnut Praline"/>
    <s v="Boxes"/>
    <n v="5"/>
    <n v="18"/>
    <n v="90"/>
    <s v="South"/>
    <m/>
  </r>
  <r>
    <s v="ORD-1119"/>
    <x v="118"/>
    <s v="Mint Chocolate Coin"/>
    <s v="Candies"/>
    <n v="45"/>
    <n v="1"/>
    <n v="45"/>
    <s v="East"/>
    <m/>
  </r>
  <r>
    <s v="ORD-1120"/>
    <x v="119"/>
    <s v="Almond Bark"/>
    <s v="Barks"/>
    <n v="10"/>
    <n v="6"/>
    <n v="60"/>
    <s v="West"/>
    <m/>
  </r>
  <r>
    <s v="ORD-1121"/>
    <x v="120"/>
    <s v="Dark Chocolate Bar"/>
    <s v="Bars"/>
    <n v="18"/>
    <n v="5"/>
    <n v="90"/>
    <s v="North"/>
    <m/>
  </r>
  <r>
    <s v="ORD-1122"/>
    <x v="121"/>
    <s v="Milk Chocolate Bar"/>
    <s v="Bars"/>
    <n v="25"/>
    <n v="4"/>
    <n v="100"/>
    <s v="South"/>
    <m/>
  </r>
  <r>
    <s v="ORD-1123"/>
    <x v="122"/>
    <s v="White Chocolate Raspberry"/>
    <s v="Bars"/>
    <n v="15"/>
    <n v="5.5"/>
    <n v="82.5"/>
    <s v="East"/>
    <m/>
  </r>
  <r>
    <s v="ORD-1124"/>
    <x v="123"/>
    <s v="Assorted Truffles Box"/>
    <s v="Boxes"/>
    <n v="10"/>
    <n v="20"/>
    <n v="200"/>
    <s v="West"/>
    <m/>
  </r>
  <r>
    <s v="ORD-1125"/>
    <x v="124"/>
    <s v="Caramel Sea Salt Squares"/>
    <s v="Candies"/>
    <n v="40"/>
    <n v="2.5"/>
    <n v="100"/>
    <s v="North"/>
    <m/>
  </r>
  <r>
    <s v="ORD-1126"/>
    <x v="125"/>
    <s v="Hazelnut Praline"/>
    <s v="Boxes"/>
    <n v="12"/>
    <n v="18"/>
    <n v="216"/>
    <s v="South"/>
    <m/>
  </r>
  <r>
    <s v="ORD-1127"/>
    <x v="126"/>
    <s v="Mint Chocolate Coin"/>
    <s v="Candies"/>
    <n v="100"/>
    <n v="1"/>
    <n v="100"/>
    <s v="East"/>
    <m/>
  </r>
  <r>
    <s v="ORD-1128"/>
    <x v="127"/>
    <s v="Almond Bark"/>
    <s v="Barks"/>
    <n v="20"/>
    <n v="6"/>
    <n v="120"/>
    <s v="West"/>
    <m/>
  </r>
  <r>
    <s v="ORD-1129"/>
    <x v="128"/>
    <s v="Dark Chocolate Bar"/>
    <s v="Bars"/>
    <n v="6"/>
    <n v="5"/>
    <n v="30"/>
    <s v="North"/>
    <m/>
  </r>
  <r>
    <s v="ORD-1130"/>
    <x v="129"/>
    <s v="Milk Chocolate Bar"/>
    <s v="Bars"/>
    <n v="13"/>
    <n v="4"/>
    <n v="52"/>
    <s v="South"/>
    <m/>
  </r>
  <r>
    <s v="ORD-1131"/>
    <x v="130"/>
    <s v="White Chocolate Raspberry"/>
    <s v="Bars"/>
    <n v="8"/>
    <n v="5.5"/>
    <n v="44"/>
    <s v="East"/>
    <m/>
  </r>
  <r>
    <s v="ORD-1132"/>
    <x v="131"/>
    <s v="Assorted Truffles Box"/>
    <s v="Boxes"/>
    <n v="3"/>
    <n v="20"/>
    <n v="60"/>
    <s v="West"/>
    <m/>
  </r>
  <r>
    <s v="ORD-1133"/>
    <x v="132"/>
    <s v="Caramel Sea Salt Squares"/>
    <s v="Candies"/>
    <n v="15"/>
    <n v="2.5"/>
    <n v="37.5"/>
    <s v="North"/>
    <m/>
  </r>
  <r>
    <s v="ORD-1134"/>
    <x v="133"/>
    <s v="Hazelnut Praline"/>
    <s v="Boxes"/>
    <n v="6"/>
    <n v="18"/>
    <n v="108"/>
    <s v="South"/>
    <m/>
  </r>
  <r>
    <s v="ORD-1135"/>
    <x v="134"/>
    <s v="Mint Chocolate Coin"/>
    <s v="Candies"/>
    <n v="30"/>
    <n v="1"/>
    <n v="30"/>
    <s v="East"/>
    <m/>
  </r>
  <r>
    <s v="ORD-1136"/>
    <x v="135"/>
    <s v="Almond Bark"/>
    <s v="Barks"/>
    <n v="7"/>
    <n v="6"/>
    <n v="42"/>
    <s v="West"/>
    <m/>
  </r>
  <r>
    <s v="ORD-1137"/>
    <x v="136"/>
    <s v="Dark Chocolate Bar"/>
    <s v="Bars"/>
    <n v="11"/>
    <n v="5"/>
    <n v="55"/>
    <s v="North"/>
    <m/>
  </r>
  <r>
    <s v="ORD-1138"/>
    <x v="137"/>
    <s v="Milk Chocolate Bar"/>
    <s v="Bars"/>
    <n v="16"/>
    <n v="4"/>
    <n v="64"/>
    <s v="South"/>
    <m/>
  </r>
  <r>
    <s v="ORD-1139"/>
    <x v="138"/>
    <s v="White Chocolate Raspberry"/>
    <s v="Bars"/>
    <n v="9"/>
    <n v="5.5"/>
    <n v="49.5"/>
    <s v="East"/>
    <m/>
  </r>
  <r>
    <s v="ORD-1140"/>
    <x v="139"/>
    <s v="Assorted Truffles Box"/>
    <s v="Boxes"/>
    <n v="5"/>
    <n v="20"/>
    <n v="100"/>
    <s v="West"/>
    <m/>
  </r>
  <r>
    <s v="ORD-1141"/>
    <x v="140"/>
    <s v="Caramel Sea Salt Squares"/>
    <s v="Candies"/>
    <n v="22"/>
    <n v="2.5"/>
    <n v="55"/>
    <s v="North"/>
    <m/>
  </r>
  <r>
    <s v="ORD-1142"/>
    <x v="141"/>
    <s v="Hazelnut Praline"/>
    <s v="Boxes"/>
    <n v="7"/>
    <n v="18"/>
    <n v="126"/>
    <s v="South"/>
    <m/>
  </r>
  <r>
    <s v="ORD-1143"/>
    <x v="142"/>
    <s v="Mint Chocolate Coin"/>
    <s v="Candies"/>
    <n v="50"/>
    <n v="1"/>
    <n v="50"/>
    <s v="East"/>
    <m/>
  </r>
  <r>
    <s v="ORD-1144"/>
    <x v="143"/>
    <s v="Almond Bark"/>
    <s v="Barks"/>
    <n v="9"/>
    <n v="6"/>
    <n v="54"/>
    <s v="West"/>
    <m/>
  </r>
  <r>
    <s v="ORD-1145"/>
    <x v="144"/>
    <s v="Dark Chocolate Bar"/>
    <s v="Bars"/>
    <n v="14"/>
    <n v="5"/>
    <n v="70"/>
    <s v="North"/>
    <m/>
  </r>
  <r>
    <s v="ORD-1146"/>
    <x v="145"/>
    <s v="Milk Chocolate Bar"/>
    <s v="Bars"/>
    <n v="20"/>
    <n v="4"/>
    <n v="80"/>
    <s v="South"/>
    <m/>
  </r>
  <r>
    <s v="ORD-1147"/>
    <x v="146"/>
    <s v="White Chocolate Raspberry"/>
    <s v="Bars"/>
    <n v="12"/>
    <n v="5.5"/>
    <n v="66"/>
    <s v="East"/>
    <m/>
  </r>
  <r>
    <s v="ORD-1148"/>
    <x v="147"/>
    <s v="Assorted Truffles Box"/>
    <s v="Boxes"/>
    <n v="7"/>
    <n v="20"/>
    <n v="140"/>
    <s v="West"/>
    <m/>
  </r>
  <r>
    <s v="ORD-1149"/>
    <x v="148"/>
    <s v="Caramel Sea Salt Squares"/>
    <s v="Candies"/>
    <n v="35"/>
    <n v="2.5"/>
    <n v="87.5"/>
    <s v="North"/>
    <m/>
  </r>
  <r>
    <s v="ORD-1150"/>
    <x v="149"/>
    <s v="Hazelnut Praline"/>
    <s v="Boxes"/>
    <n v="10"/>
    <n v="18"/>
    <n v="180"/>
    <s v="South"/>
    <m/>
  </r>
  <r>
    <s v="ORD-1151"/>
    <x v="150"/>
    <s v="Mint Chocolate Coin"/>
    <s v="Candies"/>
    <n v="70"/>
    <n v="1"/>
    <n v="70"/>
    <s v="East"/>
    <m/>
  </r>
  <r>
    <s v="ORD-1152"/>
    <x v="151"/>
    <s v="Almond Bark"/>
    <s v="Barks"/>
    <n v="15"/>
    <n v="6"/>
    <n v="90"/>
    <s v="West"/>
    <m/>
  </r>
  <r>
    <s v="ORD-1153"/>
    <x v="152"/>
    <s v="Dark Chocolate Bar"/>
    <s v="Bars"/>
    <n v="16"/>
    <n v="5"/>
    <n v="80"/>
    <s v="North"/>
    <m/>
  </r>
  <r>
    <s v="ORD-1154"/>
    <x v="153"/>
    <s v="Milk Chocolate Bar"/>
    <s v="Bars"/>
    <n v="22"/>
    <n v="4"/>
    <n v="88"/>
    <s v="South"/>
    <m/>
  </r>
  <r>
    <s v="ORD-1155"/>
    <x v="154"/>
    <s v="White Chocolate Raspberry"/>
    <s v="Bars"/>
    <n v="15"/>
    <n v="5.5"/>
    <n v="82.5"/>
    <s v="East"/>
    <m/>
  </r>
  <r>
    <s v="ORD-1156"/>
    <x v="155"/>
    <s v="Assorted Truffles Box"/>
    <s v="Boxes"/>
    <n v="8"/>
    <n v="20"/>
    <n v="160"/>
    <s v="West"/>
    <m/>
  </r>
  <r>
    <s v="ORD-1157"/>
    <x v="156"/>
    <s v="Caramel Sea Salt Squares"/>
    <s v="Candies"/>
    <n v="45"/>
    <n v="2.5"/>
    <n v="112.5"/>
    <s v="North"/>
    <m/>
  </r>
  <r>
    <s v="ORD-1158"/>
    <x v="157"/>
    <s v="Hazelnut Praline"/>
    <s v="Boxes"/>
    <n v="14"/>
    <n v="18"/>
    <n v="252"/>
    <s v="South"/>
    <m/>
  </r>
  <r>
    <s v="ORD-1159"/>
    <x v="158"/>
    <s v="Mint Chocolate Coin"/>
    <s v="Candies"/>
    <n v="90"/>
    <n v="1"/>
    <n v="90"/>
    <s v="East"/>
    <m/>
  </r>
  <r>
    <s v="ORD-1160"/>
    <x v="159"/>
    <s v="Almond Bark"/>
    <s v="Barks"/>
    <n v="18"/>
    <n v="6"/>
    <n v="108"/>
    <s v="West"/>
    <m/>
  </r>
  <r>
    <s v="ORD-1161"/>
    <x v="160"/>
    <s v="Dark Chocolate Bar"/>
    <s v="Bars"/>
    <n v="8"/>
    <n v="5"/>
    <n v="40"/>
    <s v="North"/>
    <m/>
  </r>
  <r>
    <s v="ORD-1162"/>
    <x v="161"/>
    <s v="Milk Chocolate Bar"/>
    <s v="Bars"/>
    <n v="15"/>
    <n v="4"/>
    <n v="60"/>
    <s v="South"/>
    <m/>
  </r>
  <r>
    <s v="ORD-1163"/>
    <x v="162"/>
    <s v="White Chocolate Raspberry"/>
    <s v="Bars"/>
    <n v="6"/>
    <n v="5.5"/>
    <n v="33"/>
    <s v="East"/>
    <m/>
  </r>
  <r>
    <s v="ORD-1164"/>
    <x v="163"/>
    <s v="Assorted Truffles Box"/>
    <s v="Boxes"/>
    <n v="4"/>
    <n v="20"/>
    <n v="80"/>
    <s v="West"/>
    <m/>
  </r>
  <r>
    <s v="ORD-1165"/>
    <x v="164"/>
    <s v="Caramel Sea Salt Squares"/>
    <s v="Candies"/>
    <n v="20"/>
    <n v="2.5"/>
    <n v="50"/>
    <s v="North"/>
    <m/>
  </r>
  <r>
    <s v="ORD-1166"/>
    <x v="165"/>
    <s v="Hazelnut Praline"/>
    <s v="Boxes"/>
    <n v="5"/>
    <n v="18"/>
    <n v="90"/>
    <s v="South"/>
    <m/>
  </r>
  <r>
    <s v="ORD-1167"/>
    <x v="166"/>
    <s v="Mint Chocolate Coin"/>
    <s v="Candies"/>
    <n v="40"/>
    <n v="1"/>
    <n v="40"/>
    <s v="East"/>
    <m/>
  </r>
  <r>
    <s v="ORD-1168"/>
    <x v="167"/>
    <s v="Almond Bark"/>
    <s v="Barks"/>
    <n v="8"/>
    <n v="6"/>
    <n v="48"/>
    <s v="West"/>
    <m/>
  </r>
  <r>
    <s v="ORD-1169"/>
    <x v="168"/>
    <s v="Dark Chocolate Bar"/>
    <s v="Bars"/>
    <n v="12"/>
    <n v="5"/>
    <n v="60"/>
    <s v="North"/>
    <m/>
  </r>
  <r>
    <s v="ORD-1170"/>
    <x v="169"/>
    <s v="Milk Chocolate Bar"/>
    <s v="Bars"/>
    <n v="18"/>
    <n v="4"/>
    <n v="72"/>
    <s v="South"/>
    <m/>
  </r>
  <r>
    <s v="ORD-1171"/>
    <x v="170"/>
    <s v="White Chocolate Raspberry"/>
    <s v="Bars"/>
    <n v="10"/>
    <n v="5.5"/>
    <n v="55"/>
    <s v="East"/>
    <m/>
  </r>
  <r>
    <s v="ORD-1172"/>
    <x v="171"/>
    <s v="Assorted Truffles Box"/>
    <s v="Boxes"/>
    <n v="6"/>
    <n v="20"/>
    <n v="120"/>
    <s v="West"/>
    <m/>
  </r>
  <r>
    <s v="ORD-1173"/>
    <x v="172"/>
    <s v="Caramel Sea Salt Squares"/>
    <s v="Candies"/>
    <n v="28"/>
    <n v="2.5"/>
    <n v="70"/>
    <s v="North"/>
    <m/>
  </r>
  <r>
    <s v="ORD-1174"/>
    <x v="173"/>
    <s v="Hazelnut Praline"/>
    <s v="Boxes"/>
    <n v="8"/>
    <n v="18"/>
    <n v="144"/>
    <s v="South"/>
    <m/>
  </r>
  <r>
    <s v="ORD-1175"/>
    <x v="174"/>
    <s v="Mint Chocolate Coin"/>
    <s v="Candies"/>
    <n v="60"/>
    <n v="1"/>
    <n v="60"/>
    <s v="East"/>
    <m/>
  </r>
  <r>
    <s v="ORD-1176"/>
    <x v="175"/>
    <s v="Almond Bark"/>
    <s v="Barks"/>
    <n v="11"/>
    <n v="6"/>
    <n v="66"/>
    <s v="West"/>
    <m/>
  </r>
  <r>
    <s v="ORD-1177"/>
    <x v="176"/>
    <s v="Dark Chocolate Bar"/>
    <s v="Bars"/>
    <n v="14"/>
    <n v="5"/>
    <n v="70"/>
    <s v="North"/>
    <m/>
  </r>
  <r>
    <s v="ORD-1178"/>
    <x v="177"/>
    <s v="Milk Chocolate Bar"/>
    <s v="Bars"/>
    <n v="24"/>
    <n v="4"/>
    <n v="96"/>
    <s v="South"/>
    <m/>
  </r>
  <r>
    <s v="ORD-1179"/>
    <x v="178"/>
    <s v="White Chocolate Raspberry"/>
    <s v="Bars"/>
    <n v="13"/>
    <n v="5.5"/>
    <n v="71.5"/>
    <s v="East"/>
    <m/>
  </r>
  <r>
    <s v="ORD-1180"/>
    <x v="179"/>
    <s v="Assorted Truffles Box"/>
    <s v="Boxes"/>
    <n v="7"/>
    <n v="20"/>
    <n v="140"/>
    <s v="West"/>
    <m/>
  </r>
  <r>
    <s v="ORD-1181"/>
    <x v="180"/>
    <s v="Caramel Sea Salt Squares"/>
    <s v="Candies"/>
    <n v="35"/>
    <n v="2.5"/>
    <n v="87.5"/>
    <s v="North"/>
    <m/>
  </r>
  <r>
    <s v="ORD-1182"/>
    <x v="181"/>
    <s v="Hazelnut Praline"/>
    <s v="Boxes"/>
    <n v="10"/>
    <n v="18"/>
    <n v="180"/>
    <s v="South"/>
    <m/>
  </r>
  <r>
    <s v="ORD-1183"/>
    <x v="182"/>
    <s v="Mint Chocolate Coin"/>
    <s v="Candies"/>
    <n v="75"/>
    <n v="1"/>
    <n v="75"/>
    <s v="East"/>
    <m/>
  </r>
  <r>
    <s v="ORD-1184"/>
    <x v="183"/>
    <s v="Almond Bark"/>
    <s v="Barks"/>
    <n v="14"/>
    <n v="6"/>
    <n v="84"/>
    <s v="West"/>
    <m/>
  </r>
  <r>
    <s v="ORD-1185"/>
    <x v="184"/>
    <s v="Dark Chocolate Bar"/>
    <s v="Bars"/>
    <n v="17"/>
    <n v="5"/>
    <n v="85"/>
    <s v="North"/>
    <m/>
  </r>
  <r>
    <s v="ORD-1186"/>
    <x v="185"/>
    <s v="Milk Chocolate Bar"/>
    <s v="Bars"/>
    <n v="26"/>
    <n v="4"/>
    <n v="104"/>
    <s v="South"/>
    <m/>
  </r>
  <r>
    <s v="ORD-1187"/>
    <x v="186"/>
    <s v="White Chocolate Raspberry"/>
    <s v="Bars"/>
    <n v="16"/>
    <n v="5.5"/>
    <n v="88"/>
    <s v="East"/>
    <m/>
  </r>
  <r>
    <s v="ORD-1188"/>
    <x v="187"/>
    <s v="Assorted Truffles Box"/>
    <s v="Boxes"/>
    <n v="10"/>
    <n v="20"/>
    <n v="200"/>
    <s v="West"/>
    <m/>
  </r>
  <r>
    <s v="ORD-1189"/>
    <x v="188"/>
    <s v="Caramel Sea Salt Squares"/>
    <s v="Candies"/>
    <n v="45"/>
    <n v="2.5"/>
    <n v="112.5"/>
    <s v="North"/>
    <m/>
  </r>
  <r>
    <s v="ORD-1190"/>
    <x v="189"/>
    <s v="Hazelnut Praline"/>
    <s v="Boxes"/>
    <n v="13"/>
    <n v="18"/>
    <n v="234"/>
    <s v="South"/>
    <m/>
  </r>
  <r>
    <s v="ORD-1191"/>
    <x v="190"/>
    <s v="Mint Chocolate Coin"/>
    <s v="Candies"/>
    <n v="95"/>
    <n v="1"/>
    <n v="95"/>
    <s v="East"/>
    <m/>
  </r>
  <r>
    <s v="ORD-1192"/>
    <x v="191"/>
    <s v="Almond Bark"/>
    <s v="Barks"/>
    <n v="18"/>
    <n v="6"/>
    <n v="108"/>
    <s v="West"/>
    <m/>
  </r>
  <r>
    <s v="ORD-1193"/>
    <x v="192"/>
    <s v="Dark Chocolate Bar"/>
    <s v="Bars"/>
    <n v="7"/>
    <n v="5"/>
    <n v="35"/>
    <s v="North"/>
    <m/>
  </r>
  <r>
    <s v="ORD-1194"/>
    <x v="193"/>
    <s v="Milk Chocolate Bar"/>
    <s v="Bars"/>
    <n v="12"/>
    <n v="4"/>
    <n v="48"/>
    <s v="South"/>
    <m/>
  </r>
  <r>
    <s v="ORD-1195"/>
    <x v="194"/>
    <s v="White Chocolate Raspberry"/>
    <s v="Bars"/>
    <n v="5"/>
    <n v="5.5"/>
    <n v="27.5"/>
    <s v="East"/>
    <m/>
  </r>
  <r>
    <s v="ORD-1196"/>
    <x v="195"/>
    <s v="Assorted Truffles Box"/>
    <s v="Boxes"/>
    <n v="3"/>
    <n v="20"/>
    <n v="60"/>
    <s v="West"/>
    <m/>
  </r>
  <r>
    <s v="ORD-1197"/>
    <x v="196"/>
    <s v="Caramel Sea Salt Squares"/>
    <s v="Candies"/>
    <n v="15"/>
    <n v="2.5"/>
    <n v="37.5"/>
    <s v="North"/>
    <m/>
  </r>
  <r>
    <s v="ORD-1198"/>
    <x v="197"/>
    <s v="Hazelnut Praline"/>
    <s v="Boxes"/>
    <n v="4"/>
    <n v="18"/>
    <n v="72"/>
    <s v="South"/>
    <m/>
  </r>
  <r>
    <s v="ORD-1199"/>
    <x v="198"/>
    <s v="Mint Chocolate Coin"/>
    <s v="Candies"/>
    <n v="25"/>
    <n v="1"/>
    <n v="25"/>
    <s v="East"/>
    <m/>
  </r>
  <r>
    <s v="ORD-1200"/>
    <x v="199"/>
    <s v="Almond Bark"/>
    <s v="Barks"/>
    <n v="6"/>
    <n v="6"/>
    <n v="36"/>
    <s v="West"/>
    <m/>
  </r>
  <r>
    <s v="ORD-1201"/>
    <x v="200"/>
    <s v="Dark Chocolate Bar"/>
    <s v="Bars"/>
    <n v="10"/>
    <n v="5"/>
    <n v="50"/>
    <s v="North"/>
    <m/>
  </r>
  <r>
    <s v="ORD-1202"/>
    <x v="201"/>
    <s v="Milk Chocolate Bar"/>
    <s v="Bars"/>
    <n v="15"/>
    <n v="4"/>
    <n v="60"/>
    <s v="South"/>
    <m/>
  </r>
  <r>
    <s v="ORD-1203"/>
    <x v="202"/>
    <s v="White Chocolate Raspberry"/>
    <s v="Bars"/>
    <n v="8"/>
    <n v="5.5"/>
    <n v="44"/>
    <s v="East"/>
    <m/>
  </r>
  <r>
    <s v="ORD-1204"/>
    <x v="203"/>
    <s v="Assorted Truffles Box"/>
    <s v="Boxes"/>
    <n v="5"/>
    <n v="20"/>
    <n v="100"/>
    <s v="West"/>
    <m/>
  </r>
  <r>
    <s v="ORD-1205"/>
    <x v="204"/>
    <s v="Caramel Sea Salt Squares"/>
    <s v="Candies"/>
    <n v="25"/>
    <n v="2.5"/>
    <n v="62.5"/>
    <s v="North"/>
    <m/>
  </r>
  <r>
    <s v="ORD-1206"/>
    <x v="205"/>
    <s v="Hazelnut Praline"/>
    <s v="Boxes"/>
    <n v="7"/>
    <n v="18"/>
    <n v="126"/>
    <s v="South"/>
    <m/>
  </r>
  <r>
    <s v="ORD-1207"/>
    <x v="206"/>
    <s v="Mint Chocolate Coin"/>
    <s v="Candies"/>
    <n v="40"/>
    <n v="1"/>
    <n v="40"/>
    <s v="East"/>
    <m/>
  </r>
  <r>
    <s v="ORD-1208"/>
    <x v="207"/>
    <s v="Almond Bark"/>
    <s v="Barks"/>
    <n v="9"/>
    <n v="6"/>
    <n v="54"/>
    <s v="West"/>
    <m/>
  </r>
  <r>
    <s v="ORD-1209"/>
    <x v="208"/>
    <s v="Dark Chocolate Bar"/>
    <s v="Bars"/>
    <n v="13"/>
    <n v="5"/>
    <n v="65"/>
    <s v="North"/>
    <m/>
  </r>
  <r>
    <s v="ORD-1210"/>
    <x v="209"/>
    <s v="Milk Chocolate Bar"/>
    <s v="Bars"/>
    <n v="20"/>
    <n v="4"/>
    <n v="80"/>
    <s v="South"/>
    <m/>
  </r>
  <r>
    <s v="ORD-1211"/>
    <x v="210"/>
    <s v="White Chocolate Raspberry"/>
    <s v="Bars"/>
    <n v="12"/>
    <n v="5.5"/>
    <n v="66"/>
    <s v="East"/>
    <m/>
  </r>
  <r>
    <s v="ORD-1212"/>
    <x v="211"/>
    <s v="Assorted Truffles Box"/>
    <s v="Boxes"/>
    <n v="7"/>
    <n v="20"/>
    <n v="140"/>
    <s v="West"/>
    <m/>
  </r>
  <r>
    <s v="ORD-1213"/>
    <x v="212"/>
    <s v="Caramel Sea Salt Squares"/>
    <s v="Candies"/>
    <n v="30"/>
    <n v="2.5"/>
    <n v="75"/>
    <s v="North"/>
    <m/>
  </r>
  <r>
    <s v="ORD-1214"/>
    <x v="213"/>
    <s v="Hazelnut Praline"/>
    <s v="Boxes"/>
    <n v="9"/>
    <n v="18"/>
    <n v="162"/>
    <s v="South"/>
    <m/>
  </r>
  <r>
    <s v="ORD-1215"/>
    <x v="214"/>
    <s v="Mint Chocolate Coin"/>
    <s v="Candies"/>
    <n v="50"/>
    <n v="1"/>
    <n v="50"/>
    <s v="East"/>
    <m/>
  </r>
  <r>
    <s v="ORD-1216"/>
    <x v="215"/>
    <s v="Almond Bark"/>
    <s v="Barks"/>
    <n v="11"/>
    <n v="6"/>
    <n v="66"/>
    <s v="West"/>
    <m/>
  </r>
  <r>
    <s v="ORD-1217"/>
    <x v="216"/>
    <s v="Dark Chocolate Bar"/>
    <s v="Bars"/>
    <n v="15"/>
    <n v="5"/>
    <n v="75"/>
    <s v="North"/>
    <m/>
  </r>
  <r>
    <s v="ORD-1218"/>
    <x v="217"/>
    <s v="Milk Chocolate Bar"/>
    <s v="Bars"/>
    <n v="22"/>
    <n v="4"/>
    <n v="88"/>
    <s v="South"/>
    <m/>
  </r>
  <r>
    <s v="ORD-1219"/>
    <x v="218"/>
    <s v="White Chocolate Raspberry"/>
    <s v="Bars"/>
    <n v="14"/>
    <n v="5.5"/>
    <n v="77"/>
    <s v="East"/>
    <m/>
  </r>
  <r>
    <s v="ORD-1220"/>
    <x v="219"/>
    <s v="Assorted Truffles Box"/>
    <s v="Boxes"/>
    <n v="8"/>
    <n v="20"/>
    <n v="160"/>
    <s v="West"/>
    <m/>
  </r>
  <r>
    <s v="ORD-1221"/>
    <x v="220"/>
    <s v="Caramel Sea Salt Squares"/>
    <s v="Candies"/>
    <n v="40"/>
    <n v="2.5"/>
    <n v="100"/>
    <s v="North"/>
    <m/>
  </r>
  <r>
    <s v="ORD-1222"/>
    <x v="221"/>
    <s v="Hazelnut Praline"/>
    <s v="Boxes"/>
    <n v="11"/>
    <n v="18"/>
    <n v="198"/>
    <s v="South"/>
    <m/>
  </r>
  <r>
    <s v="ORD-1223"/>
    <x v="222"/>
    <s v="Mint Chocolate Coin"/>
    <s v="Candies"/>
    <n v="70"/>
    <n v="1"/>
    <n v="70"/>
    <s v="East"/>
    <m/>
  </r>
  <r>
    <s v="ORD-1224"/>
    <x v="223"/>
    <s v="Almond Bark"/>
    <s v="Barks"/>
    <n v="14"/>
    <n v="6"/>
    <n v="84"/>
    <s v="West"/>
    <m/>
  </r>
  <r>
    <s v="ORD-1225"/>
    <x v="224"/>
    <s v="Dark Chocolate Bar"/>
    <s v="Bars"/>
    <n v="18"/>
    <n v="5"/>
    <n v="90"/>
    <s v="North"/>
    <m/>
  </r>
  <r>
    <s v="ORD-1226"/>
    <x v="225"/>
    <s v="Milk Chocolate Bar"/>
    <s v="Bars"/>
    <n v="28"/>
    <n v="4"/>
    <n v="112"/>
    <s v="South"/>
    <m/>
  </r>
  <r>
    <s v="ORD-1227"/>
    <x v="226"/>
    <s v="White Chocolate Raspberry"/>
    <s v="Bars"/>
    <n v="16"/>
    <n v="5.5"/>
    <n v="88"/>
    <s v="East"/>
    <m/>
  </r>
  <r>
    <s v="ORD-1228"/>
    <x v="227"/>
    <s v="Assorted Truffles Box"/>
    <s v="Boxes"/>
    <n v="10"/>
    <n v="20"/>
    <n v="200"/>
    <s v="West"/>
    <m/>
  </r>
  <r>
    <s v="ORD-1229"/>
    <x v="228"/>
    <s v="Caramel Sea Salt Squares"/>
    <s v="Candies"/>
    <n v="50"/>
    <n v="2.5"/>
    <n v="125"/>
    <s v="North"/>
    <m/>
  </r>
  <r>
    <s v="ORD-1230"/>
    <x v="229"/>
    <s v="Hazelnut Praline"/>
    <s v="Boxes"/>
    <n v="15"/>
    <n v="18"/>
    <n v="270"/>
    <s v="South"/>
    <m/>
  </r>
  <r>
    <s v="ORD-1231"/>
    <x v="230"/>
    <s v="Mint Chocolate Coin"/>
    <s v="Candies"/>
    <n v="100"/>
    <n v="1"/>
    <n v="100"/>
    <s v="East"/>
    <m/>
  </r>
  <r>
    <s v="ORD-1232"/>
    <x v="231"/>
    <s v="Almond Bark"/>
    <s v="Barks"/>
    <n v="20"/>
    <n v="6"/>
    <n v="120"/>
    <s v="West"/>
    <m/>
  </r>
  <r>
    <s v="ORD-1233"/>
    <x v="232"/>
    <s v="Dark Chocolate Bar"/>
    <s v="Bars"/>
    <n v="6"/>
    <n v="5"/>
    <n v="30"/>
    <s v="North"/>
    <m/>
  </r>
  <r>
    <s v="ORD-1234"/>
    <x v="233"/>
    <s v="Milk Chocolate Bar"/>
    <s v="Bars"/>
    <n v="12"/>
    <n v="4"/>
    <n v="48"/>
    <s v="South"/>
    <m/>
  </r>
  <r>
    <s v="ORD-1235"/>
    <x v="234"/>
    <s v="White Chocolate Raspberry"/>
    <s v="Bars"/>
    <n v="7"/>
    <n v="5.5"/>
    <n v="38.5"/>
    <s v="East"/>
    <m/>
  </r>
  <r>
    <s v="ORD-1236"/>
    <x v="235"/>
    <s v="Assorted Truffles Box"/>
    <s v="Boxes"/>
    <n v="4"/>
    <n v="20"/>
    <n v="80"/>
    <s v="West"/>
    <m/>
  </r>
  <r>
    <s v="ORD-1237"/>
    <x v="236"/>
    <s v="Caramel Sea Salt Squares"/>
    <s v="Candies"/>
    <n v="15"/>
    <n v="2.5"/>
    <n v="37.5"/>
    <s v="North"/>
    <m/>
  </r>
  <r>
    <s v="ORD-1238"/>
    <x v="237"/>
    <s v="Hazelnut Praline"/>
    <s v="Boxes"/>
    <n v="5"/>
    <n v="18"/>
    <n v="90"/>
    <s v="South"/>
    <m/>
  </r>
  <r>
    <s v="ORD-1239"/>
    <x v="238"/>
    <s v="Mint Chocolate Coin"/>
    <s v="Candies"/>
    <n v="30"/>
    <n v="1"/>
    <n v="30"/>
    <s v="East"/>
    <m/>
  </r>
  <r>
    <s v="ORD-1240"/>
    <x v="239"/>
    <s v="Almond Bark"/>
    <s v="Barks"/>
    <n v="8"/>
    <n v="6"/>
    <n v="48"/>
    <s v="West"/>
    <m/>
  </r>
  <r>
    <s v="ORD-1241"/>
    <x v="240"/>
    <s v="Dark Chocolate Bar"/>
    <s v="Bars"/>
    <n v="10"/>
    <n v="5"/>
    <n v="50"/>
    <s v="North"/>
    <m/>
  </r>
  <r>
    <s v="ORD-1242"/>
    <x v="241"/>
    <s v="Milk Chocolate Bar"/>
    <s v="Bars"/>
    <n v="16"/>
    <n v="4"/>
    <n v="64"/>
    <s v="South"/>
    <m/>
  </r>
  <r>
    <s v="ORD-1243"/>
    <x v="242"/>
    <s v="White Chocolate Raspberry"/>
    <s v="Bars"/>
    <n v="9"/>
    <n v="5.5"/>
    <n v="49.5"/>
    <s v="East"/>
    <m/>
  </r>
  <r>
    <s v="ORD-1244"/>
    <x v="243"/>
    <s v="Assorted Truffles Box"/>
    <s v="Boxes"/>
    <n v="6"/>
    <n v="20"/>
    <n v="120"/>
    <s v="West"/>
    <m/>
  </r>
  <r>
    <s v="ORD-1245"/>
    <x v="244"/>
    <s v="Caramel Sea Salt Squares"/>
    <s v="Candies"/>
    <n v="25"/>
    <n v="2.5"/>
    <n v="62.5"/>
    <s v="North"/>
    <m/>
  </r>
  <r>
    <s v="ORD-1246"/>
    <x v="245"/>
    <s v="Hazelnut Praline"/>
    <s v="Boxes"/>
    <n v="7"/>
    <n v="18"/>
    <n v="126"/>
    <s v="South"/>
    <m/>
  </r>
  <r>
    <s v="ORD-1247"/>
    <x v="246"/>
    <s v="Mint Chocolate Coin"/>
    <s v="Candies"/>
    <n v="45"/>
    <n v="1"/>
    <n v="45"/>
    <s v="East"/>
    <m/>
  </r>
  <r>
    <s v="ORD-1248"/>
    <x v="247"/>
    <s v="Almond Bark"/>
    <s v="Barks"/>
    <n v="10"/>
    <n v="6"/>
    <n v="60"/>
    <s v="West"/>
    <m/>
  </r>
  <r>
    <s v="ORD-1249"/>
    <x v="248"/>
    <s v="Dark Chocolate Bar"/>
    <s v="Bars"/>
    <n v="14"/>
    <n v="5"/>
    <n v="70"/>
    <s v="North"/>
    <m/>
  </r>
  <r>
    <s v="ORD-1250"/>
    <x v="249"/>
    <s v="Milk Chocolate Bar"/>
    <s v="Bars"/>
    <n v="20"/>
    <n v="4"/>
    <n v="80"/>
    <s v="South"/>
    <m/>
  </r>
  <r>
    <s v="ORD-1251"/>
    <x v="250"/>
    <s v="White Chocolate Raspberry"/>
    <s v="Bars"/>
    <n v="12"/>
    <n v="5.5"/>
    <n v="66"/>
    <s v="East"/>
    <m/>
  </r>
  <r>
    <s v="ORD-1252"/>
    <x v="251"/>
    <s v="Assorted Truffles Box"/>
    <s v="Boxes"/>
    <n v="8"/>
    <n v="20"/>
    <n v="160"/>
    <s v="West"/>
    <m/>
  </r>
  <r>
    <s v="ORD-1253"/>
    <x v="252"/>
    <s v="Caramel Sea Salt Squares"/>
    <s v="Candies"/>
    <n v="35"/>
    <n v="2.5"/>
    <n v="87.5"/>
    <s v="North"/>
    <m/>
  </r>
  <r>
    <s v="ORD-1254"/>
    <x v="253"/>
    <s v="Hazelnut Praline"/>
    <s v="Boxes"/>
    <n v="10"/>
    <n v="18"/>
    <n v="180"/>
    <s v="South"/>
    <m/>
  </r>
  <r>
    <s v="ORD-1255"/>
    <x v="254"/>
    <s v="Mint Chocolate Coin"/>
    <s v="Candies"/>
    <n v="60"/>
    <n v="1"/>
    <n v="60"/>
    <s v="East"/>
    <m/>
  </r>
  <r>
    <s v="ORD-1256"/>
    <x v="255"/>
    <s v="Almond Bark"/>
    <s v="Barks"/>
    <n v="13"/>
    <n v="6"/>
    <n v="78"/>
    <s v="West"/>
    <m/>
  </r>
  <r>
    <s v="ORD-1257"/>
    <x v="256"/>
    <s v="Dark Chocolate Bar"/>
    <s v="Bars"/>
    <n v="16"/>
    <n v="5"/>
    <n v="80"/>
    <s v="North"/>
    <m/>
  </r>
  <r>
    <s v="ORD-1258"/>
    <x v="257"/>
    <s v="Milk Chocolate Bar"/>
    <s v="Bars"/>
    <n v="24"/>
    <n v="4"/>
    <n v="96"/>
    <s v="South"/>
    <m/>
  </r>
  <r>
    <s v="ORD-1259"/>
    <x v="258"/>
    <s v="White Chocolate Raspberry"/>
    <s v="Bars"/>
    <n v="15"/>
    <n v="5.5"/>
    <n v="82.5"/>
    <s v="East"/>
    <m/>
  </r>
  <r>
    <s v="ORD-1260"/>
    <x v="259"/>
    <s v="Assorted Truffles Box"/>
    <s v="Boxes"/>
    <n v="9"/>
    <n v="20"/>
    <n v="180"/>
    <s v="West"/>
    <m/>
  </r>
  <r>
    <s v="ORD-1261"/>
    <x v="260"/>
    <s v="Caramel Sea Salt Squares"/>
    <s v="Candies"/>
    <n v="40"/>
    <n v="2.5"/>
    <n v="100"/>
    <s v="North"/>
    <m/>
  </r>
  <r>
    <s v="ORD-1262"/>
    <x v="261"/>
    <s v="Hazelnut Praline"/>
    <s v="Boxes"/>
    <n v="12"/>
    <n v="18"/>
    <n v="216"/>
    <s v="South"/>
    <m/>
  </r>
  <r>
    <s v="ORD-1263"/>
    <x v="262"/>
    <s v="Mint Chocolate Coin"/>
    <s v="Candies"/>
    <n v="80"/>
    <n v="1"/>
    <n v="80"/>
    <s v="East"/>
    <m/>
  </r>
  <r>
    <s v="ORD-1264"/>
    <x v="263"/>
    <s v="Almond Bark"/>
    <s v="Barks"/>
    <n v="16"/>
    <n v="6"/>
    <n v="96"/>
    <s v="West"/>
    <m/>
  </r>
  <r>
    <s v="ORD-1265"/>
    <x v="264"/>
    <s v="Dark Chocolate Bar"/>
    <s v="Bars"/>
    <n v="8"/>
    <n v="5"/>
    <n v="40"/>
    <s v="North"/>
    <m/>
  </r>
  <r>
    <s v="ORD-1266"/>
    <x v="265"/>
    <s v="Milk Chocolate Bar"/>
    <s v="Bars"/>
    <n v="14"/>
    <n v="4"/>
    <n v="56"/>
    <s v="South"/>
    <m/>
  </r>
  <r>
    <s v="ORD-1267"/>
    <x v="266"/>
    <s v="White Chocolate Raspberry"/>
    <s v="Bars"/>
    <n v="7"/>
    <n v="5.5"/>
    <n v="38.5"/>
    <s v="East"/>
    <m/>
  </r>
  <r>
    <s v="ORD-1268"/>
    <x v="267"/>
    <s v="Assorted Truffles Box"/>
    <s v="Boxes"/>
    <n v="4"/>
    <n v="20"/>
    <n v="80"/>
    <s v="West"/>
    <m/>
  </r>
  <r>
    <s v="ORD-1269"/>
    <x v="268"/>
    <s v="Caramel Sea Salt Squares"/>
    <s v="Candies"/>
    <n v="20"/>
    <n v="2.5"/>
    <n v="50"/>
    <s v="North"/>
    <m/>
  </r>
  <r>
    <s v="ORD-1270"/>
    <x v="269"/>
    <s v="Hazelnut Praline"/>
    <s v="Boxes"/>
    <n v="6"/>
    <n v="18"/>
    <n v="108"/>
    <s v="South"/>
    <m/>
  </r>
  <r>
    <s v="ORD-1271"/>
    <x v="270"/>
    <s v="Mint Chocolate Coin"/>
    <s v="Candies"/>
    <n v="35"/>
    <n v="1"/>
    <n v="35"/>
    <s v="East"/>
    <m/>
  </r>
  <r>
    <s v="ORD-1272"/>
    <x v="271"/>
    <s v="Almond Bark"/>
    <s v="Barks"/>
    <n v="9"/>
    <n v="6"/>
    <n v="54"/>
    <s v="West"/>
    <m/>
  </r>
  <r>
    <s v="ORD-1273"/>
    <x v="272"/>
    <s v="Dark Chocolate Bar"/>
    <s v="Bars"/>
    <n v="12"/>
    <n v="5"/>
    <n v="60"/>
    <s v="North"/>
    <m/>
  </r>
  <r>
    <s v="ORD-1274"/>
    <x v="273"/>
    <s v="Milk Chocolate Bar"/>
    <s v="Bars"/>
    <n v="18"/>
    <n v="4"/>
    <n v="72"/>
    <s v="South"/>
    <m/>
  </r>
  <r>
    <s v="ORD-1275"/>
    <x v="274"/>
    <s v="White Chocolate Raspberry"/>
    <s v="Bars"/>
    <n v="10"/>
    <n v="5.5"/>
    <n v="55"/>
    <s v="East"/>
    <m/>
  </r>
  <r>
    <s v="ORD-1276"/>
    <x v="275"/>
    <s v="Assorted Truffles Box"/>
    <s v="Boxes"/>
    <n v="6"/>
    <n v="20"/>
    <n v="120"/>
    <s v="West"/>
    <m/>
  </r>
  <r>
    <s v="ORD-1277"/>
    <x v="276"/>
    <s v="Caramel Sea Salt Squares"/>
    <s v="Candies"/>
    <n v="28"/>
    <n v="2.5"/>
    <n v="70"/>
    <s v="North"/>
    <m/>
  </r>
  <r>
    <s v="ORD-1278"/>
    <x v="277"/>
    <s v="Hazelnut Praline"/>
    <s v="Boxes"/>
    <n v="8"/>
    <n v="18"/>
    <n v="144"/>
    <s v="South"/>
    <m/>
  </r>
  <r>
    <s v="ORD-1279"/>
    <x v="278"/>
    <s v="Mint Chocolate Coin"/>
    <s v="Candies"/>
    <n v="50"/>
    <n v="1"/>
    <n v="50"/>
    <s v="East"/>
    <m/>
  </r>
  <r>
    <s v="ORD-1280"/>
    <x v="279"/>
    <s v="Almond Bark"/>
    <s v="Barks"/>
    <n v="11"/>
    <n v="6"/>
    <n v="66"/>
    <s v="West"/>
    <m/>
  </r>
  <r>
    <s v="ORD-1281"/>
    <x v="280"/>
    <s v="Dark Chocolate Bar"/>
    <s v="Bars"/>
    <n v="15"/>
    <n v="5"/>
    <n v="75"/>
    <s v="North"/>
    <m/>
  </r>
  <r>
    <s v="ORD-1282"/>
    <x v="281"/>
    <s v="Milk Chocolate Bar"/>
    <s v="Bars"/>
    <n v="22"/>
    <n v="4"/>
    <n v="88"/>
    <s v="South"/>
    <m/>
  </r>
  <r>
    <s v="ORD-1283"/>
    <x v="282"/>
    <s v="White Chocolate Raspberry"/>
    <s v="Bars"/>
    <n v="14"/>
    <n v="5.5"/>
    <n v="77"/>
    <s v="East"/>
    <m/>
  </r>
  <r>
    <s v="ORD-1284"/>
    <x v="283"/>
    <s v="Assorted Truffles Box"/>
    <s v="Boxes"/>
    <n v="8"/>
    <n v="20"/>
    <n v="160"/>
    <s v="West"/>
    <m/>
  </r>
  <r>
    <s v="ORD-1285"/>
    <x v="284"/>
    <s v="Caramel Sea Salt Squares"/>
    <s v="Candies"/>
    <n v="38"/>
    <n v="2.5"/>
    <n v="95"/>
    <s v="North"/>
    <m/>
  </r>
  <r>
    <s v="ORD-1286"/>
    <x v="285"/>
    <s v="Hazelnut Praline"/>
    <s v="Boxes"/>
    <n v="11"/>
    <n v="18"/>
    <n v="198"/>
    <s v="South"/>
    <m/>
  </r>
  <r>
    <s v="ORD-1287"/>
    <x v="286"/>
    <s v="Mint Chocolate Coin"/>
    <s v="Candies"/>
    <n v="70"/>
    <n v="1"/>
    <n v="70"/>
    <s v="East"/>
    <m/>
  </r>
  <r>
    <s v="ORD-1288"/>
    <x v="287"/>
    <s v="Almond Bark"/>
    <s v="Barks"/>
    <n v="15"/>
    <n v="6"/>
    <n v="90"/>
    <s v="West"/>
    <m/>
  </r>
  <r>
    <s v="ORD-1289"/>
    <x v="288"/>
    <s v="Dark Chocolate Bar"/>
    <s v="Bars"/>
    <n v="19"/>
    <n v="5"/>
    <n v="95"/>
    <s v="North"/>
    <m/>
  </r>
  <r>
    <s v="ORD-1290"/>
    <x v="289"/>
    <s v="Milk Chocolate Bar"/>
    <s v="Bars"/>
    <n v="28"/>
    <n v="4"/>
    <n v="112"/>
    <s v="South"/>
    <m/>
  </r>
  <r>
    <s v="ORD-1291"/>
    <x v="290"/>
    <s v="White Chocolate Raspberry"/>
    <s v="Bars"/>
    <n v="17"/>
    <n v="5.5"/>
    <n v="93.5"/>
    <s v="East"/>
    <m/>
  </r>
  <r>
    <s v="ORD-1292"/>
    <x v="291"/>
    <s v="Assorted Truffles Box"/>
    <s v="Boxes"/>
    <n v="11"/>
    <n v="20"/>
    <n v="220"/>
    <s v="West"/>
    <m/>
  </r>
  <r>
    <s v="ORD-1293"/>
    <x v="292"/>
    <s v="Caramel Sea Salt Squares"/>
    <s v="Candies"/>
    <n v="50"/>
    <n v="2.5"/>
    <n v="125"/>
    <s v="North"/>
    <m/>
  </r>
  <r>
    <s v="ORD-1294"/>
    <x v="293"/>
    <s v="Hazelnut Praline"/>
    <s v="Boxes"/>
    <n v="15"/>
    <n v="18"/>
    <n v="270"/>
    <s v="South"/>
    <m/>
  </r>
  <r>
    <s v="ORD-1295"/>
    <x v="294"/>
    <s v="Mint Chocolate Coin"/>
    <s v="Candies"/>
    <n v="100"/>
    <n v="1"/>
    <n v="100"/>
    <s v="East"/>
    <m/>
  </r>
  <r>
    <s v="ORD-1296"/>
    <x v="295"/>
    <s v="Almond Bark"/>
    <s v="Barks"/>
    <n v="20"/>
    <n v="6"/>
    <n v="120"/>
    <s v="West"/>
    <m/>
  </r>
  <r>
    <s v="ORD-1297"/>
    <x v="296"/>
    <s v="Dark Chocolate Bar"/>
    <s v="Bars"/>
    <n v="7"/>
    <n v="5"/>
    <n v="35"/>
    <s v="North"/>
    <m/>
  </r>
  <r>
    <s v="ORD-1298"/>
    <x v="297"/>
    <s v="Milk Chocolate Bar"/>
    <s v="Bars"/>
    <n v="12"/>
    <n v="4"/>
    <n v="48"/>
    <s v="South"/>
    <m/>
  </r>
  <r>
    <s v="ORD-1299"/>
    <x v="298"/>
    <s v="White Chocolate Raspberry"/>
    <s v="Bars"/>
    <n v="6"/>
    <n v="5.5"/>
    <n v="33"/>
    <s v="East"/>
    <m/>
  </r>
  <r>
    <s v="ORD-1300"/>
    <x v="299"/>
    <s v="Assorted Truffles Box"/>
    <s v="Boxes"/>
    <n v="3"/>
    <n v="20"/>
    <n v="60"/>
    <s v="West"/>
    <m/>
  </r>
  <r>
    <s v="ORD-1301"/>
    <x v="300"/>
    <s v="Caramel Sea Salt Squares"/>
    <s v="Candies"/>
    <n v="18"/>
    <n v="2.5"/>
    <n v="45"/>
    <s v="North"/>
    <m/>
  </r>
  <r>
    <s v="ORD-1302"/>
    <x v="301"/>
    <s v="Hazelnut Praline"/>
    <s v="Boxes"/>
    <n v="5"/>
    <n v="18"/>
    <n v="90"/>
    <s v="South"/>
    <m/>
  </r>
  <r>
    <s v="ORD-1303"/>
    <x v="302"/>
    <s v="Mint Chocolate Coin"/>
    <s v="Candies"/>
    <n v="30"/>
    <n v="1"/>
    <n v="30"/>
    <s v="East"/>
    <m/>
  </r>
  <r>
    <s v="ORD-1304"/>
    <x v="303"/>
    <s v="Almond Bark"/>
    <s v="Barks"/>
    <n v="8"/>
    <n v="6"/>
    <n v="48"/>
    <s v="West"/>
    <m/>
  </r>
  <r>
    <s v="ORD-1305"/>
    <x v="304"/>
    <s v="Dark Chocolate Bar"/>
    <s v="Bars"/>
    <n v="11"/>
    <n v="5"/>
    <n v="55"/>
    <s v="North"/>
    <m/>
  </r>
  <r>
    <s v="ORD-1306"/>
    <x v="305"/>
    <s v="Milk Chocolate Bar"/>
    <s v="Bars"/>
    <n v="17"/>
    <n v="4"/>
    <n v="68"/>
    <s v="South"/>
    <m/>
  </r>
  <r>
    <s v="ORD-1307"/>
    <x v="306"/>
    <s v="White Chocolate Raspberry"/>
    <s v="Bars"/>
    <n v="9"/>
    <n v="5.5"/>
    <n v="49.5"/>
    <s v="East"/>
    <m/>
  </r>
  <r>
    <s v="ORD-1308"/>
    <x v="307"/>
    <s v="Assorted Truffles Box"/>
    <s v="Boxes"/>
    <n v="5"/>
    <n v="20"/>
    <n v="100"/>
    <s v="West"/>
    <m/>
  </r>
  <r>
    <s v="ORD-1309"/>
    <x v="308"/>
    <s v="Caramel Sea Salt Squares"/>
    <s v="Candies"/>
    <n v="25"/>
    <n v="2.5"/>
    <n v="62.5"/>
    <s v="North"/>
    <m/>
  </r>
  <r>
    <s v="ORD-1310"/>
    <x v="309"/>
    <s v="Hazelnut Praline"/>
    <s v="Boxes"/>
    <n v="7"/>
    <n v="18"/>
    <n v="126"/>
    <s v="South"/>
    <m/>
  </r>
  <r>
    <s v="ORD-1311"/>
    <x v="310"/>
    <s v="Mint Chocolate Coin"/>
    <s v="Candies"/>
    <n v="45"/>
    <n v="1"/>
    <n v="45"/>
    <s v="East"/>
    <m/>
  </r>
  <r>
    <s v="ORD-1312"/>
    <x v="311"/>
    <s v="Almond Bark"/>
    <s v="Barks"/>
    <n v="10"/>
    <n v="6"/>
    <n v="60"/>
    <s v="West"/>
    <m/>
  </r>
  <r>
    <s v="ORD-1313"/>
    <x v="312"/>
    <s v="Dark Chocolate Bar"/>
    <s v="Bars"/>
    <n v="14"/>
    <n v="5"/>
    <n v="70"/>
    <s v="North"/>
    <m/>
  </r>
  <r>
    <s v="ORD-1314"/>
    <x v="313"/>
    <s v="Milk Chocolate Bar"/>
    <s v="Bars"/>
    <n v="21"/>
    <n v="4"/>
    <n v="84"/>
    <s v="South"/>
    <m/>
  </r>
  <r>
    <s v="ORD-1315"/>
    <x v="314"/>
    <s v="White Chocolate Raspberry"/>
    <s v="Bars"/>
    <n v="12"/>
    <n v="5.5"/>
    <n v="66"/>
    <s v="East"/>
    <m/>
  </r>
  <r>
    <s v="ORD-1316"/>
    <x v="315"/>
    <s v="Assorted Truffles Box"/>
    <s v="Boxes"/>
    <n v="7"/>
    <n v="20"/>
    <n v="140"/>
    <s v="West"/>
    <m/>
  </r>
  <r>
    <s v="ORD-1317"/>
    <x v="316"/>
    <s v="Caramel Sea Salt Squares"/>
    <s v="Candies"/>
    <n v="35"/>
    <n v="2.5"/>
    <n v="87.5"/>
    <s v="North"/>
    <m/>
  </r>
  <r>
    <s v="ORD-1318"/>
    <x v="317"/>
    <s v="Hazelnut Praline"/>
    <s v="Boxes"/>
    <n v="10"/>
    <n v="18"/>
    <n v="180"/>
    <s v="South"/>
    <m/>
  </r>
  <r>
    <s v="ORD-1319"/>
    <x v="318"/>
    <s v="Mint Chocolate Coin"/>
    <s v="Candies"/>
    <n v="65"/>
    <n v="1"/>
    <n v="65"/>
    <s v="East"/>
    <m/>
  </r>
  <r>
    <s v="ORD-1320"/>
    <x v="319"/>
    <s v="Almond Bark"/>
    <s v="Barks"/>
    <n v="14"/>
    <n v="6"/>
    <n v="84"/>
    <s v="West"/>
    <m/>
  </r>
  <r>
    <s v="ORD-1321"/>
    <x v="320"/>
    <s v="Dark Chocolate Bar"/>
    <s v="Bars"/>
    <n v="18"/>
    <n v="5"/>
    <n v="90"/>
    <s v="North"/>
    <m/>
  </r>
  <r>
    <s v="ORD-1322"/>
    <x v="321"/>
    <s v="Milk Chocolate Bar"/>
    <s v="Bars"/>
    <n v="26"/>
    <n v="4"/>
    <n v="104"/>
    <s v="South"/>
    <m/>
  </r>
  <r>
    <s v="ORD-1323"/>
    <x v="322"/>
    <s v="White Chocolate Raspberry"/>
    <s v="Bars"/>
    <n v="16"/>
    <n v="5.5"/>
    <n v="88"/>
    <s v="East"/>
    <m/>
  </r>
  <r>
    <s v="ORD-1324"/>
    <x v="323"/>
    <s v="Assorted Truffles Box"/>
    <s v="Boxes"/>
    <n v="10"/>
    <n v="20"/>
    <n v="200"/>
    <s v="West"/>
    <m/>
  </r>
  <r>
    <s v="ORD-1325"/>
    <x v="324"/>
    <s v="Caramel Sea Salt Squares"/>
    <s v="Candies"/>
    <n v="45"/>
    <n v="2.5"/>
    <n v="112.5"/>
    <s v="North"/>
    <m/>
  </r>
  <r>
    <s v="ORD-1326"/>
    <x v="325"/>
    <s v="Hazelnut Praline"/>
    <s v="Boxes"/>
    <n v="13"/>
    <n v="18"/>
    <n v="234"/>
    <s v="South"/>
    <m/>
  </r>
  <r>
    <s v="ORD-1327"/>
    <x v="326"/>
    <s v="Mint Chocolate Coin"/>
    <s v="Candies"/>
    <n v="85"/>
    <n v="1"/>
    <n v="85"/>
    <s v="East"/>
    <m/>
  </r>
  <r>
    <s v="ORD-1328"/>
    <x v="327"/>
    <s v="Almond Bark"/>
    <s v="Barks"/>
    <n v="18"/>
    <n v="6"/>
    <n v="108"/>
    <s v="West"/>
    <m/>
  </r>
  <r>
    <s v="ORD-1329"/>
    <x v="328"/>
    <s v="Dark Chocolate Bar"/>
    <s v="Bars"/>
    <n v="8"/>
    <n v="5"/>
    <n v="40"/>
    <s v="North"/>
    <m/>
  </r>
  <r>
    <s v="ORD-1330"/>
    <x v="329"/>
    <s v="Milk Chocolate Bar"/>
    <s v="Bars"/>
    <n v="13"/>
    <n v="4"/>
    <n v="52"/>
    <s v="South"/>
    <m/>
  </r>
  <r>
    <s v="ORD-1331"/>
    <x v="330"/>
    <s v="White Chocolate Raspberry"/>
    <s v="Bars"/>
    <n v="7"/>
    <n v="5.5"/>
    <n v="38.5"/>
    <s v="East"/>
    <m/>
  </r>
  <r>
    <s v="ORD-1332"/>
    <x v="331"/>
    <s v="Assorted Truffles Box"/>
    <s v="Boxes"/>
    <n v="4"/>
    <n v="20"/>
    <n v="80"/>
    <s v="West"/>
    <m/>
  </r>
  <r>
    <s v="ORD-1333"/>
    <x v="332"/>
    <s v="Caramel Sea Salt Squares"/>
    <s v="Candies"/>
    <n v="18"/>
    <n v="2.5"/>
    <n v="45"/>
    <s v="North"/>
    <m/>
  </r>
  <r>
    <s v="ORD-1334"/>
    <x v="333"/>
    <s v="Hazelnut Praline"/>
    <s v="Boxes"/>
    <n v="5"/>
    <n v="18"/>
    <n v="90"/>
    <s v="South"/>
    <m/>
  </r>
  <r>
    <s v="ORD-1335"/>
    <x v="334"/>
    <s v="Mint Chocolate Coin"/>
    <s v="Candies"/>
    <n v="35"/>
    <n v="1"/>
    <n v="35"/>
    <s v="East"/>
    <m/>
  </r>
  <r>
    <s v="ORD-1336"/>
    <x v="335"/>
    <s v="Almond Bark"/>
    <s v="Barks"/>
    <n v="8"/>
    <n v="6"/>
    <n v="48"/>
    <s v="West"/>
    <m/>
  </r>
  <r>
    <s v="ORD-1337"/>
    <x v="336"/>
    <s v="Dark Chocolate Bar"/>
    <s v="Bars"/>
    <n v="11"/>
    <n v="5"/>
    <n v="55"/>
    <s v="North"/>
    <m/>
  </r>
  <r>
    <s v="ORD-1338"/>
    <x v="337"/>
    <s v="Milk Chocolate Bar"/>
    <s v="Bars"/>
    <n v="17"/>
    <n v="4"/>
    <n v="68"/>
    <s v="South"/>
    <m/>
  </r>
  <r>
    <s v="ORD-1339"/>
    <x v="338"/>
    <s v="White Chocolate Raspberry"/>
    <s v="Bars"/>
    <n v="9"/>
    <n v="5.5"/>
    <n v="49.5"/>
    <s v="East"/>
    <m/>
  </r>
  <r>
    <s v="ORD-1340"/>
    <x v="339"/>
    <s v="Assorted Truffles Box"/>
    <s v="Boxes"/>
    <n v="6"/>
    <n v="20"/>
    <n v="120"/>
    <s v="West"/>
    <m/>
  </r>
  <r>
    <s v="ORD-1341"/>
    <x v="340"/>
    <s v="Caramel Sea Salt Squares"/>
    <s v="Candies"/>
    <n v="28"/>
    <n v="2.5"/>
    <n v="70"/>
    <s v="North"/>
    <m/>
  </r>
  <r>
    <s v="ORD-1342"/>
    <x v="341"/>
    <s v="Hazelnut Praline"/>
    <s v="Boxes"/>
    <n v="8"/>
    <n v="18"/>
    <n v="144"/>
    <s v="South"/>
    <m/>
  </r>
  <r>
    <s v="ORD-1343"/>
    <x v="342"/>
    <s v="Mint Chocolate Coin"/>
    <s v="Candies"/>
    <n v="55"/>
    <n v="1"/>
    <n v="55"/>
    <s v="East"/>
    <m/>
  </r>
  <r>
    <s v="ORD-1344"/>
    <x v="343"/>
    <s v="Almond Bark"/>
    <s v="Barks"/>
    <n v="12"/>
    <n v="6"/>
    <n v="72"/>
    <s v="West"/>
    <m/>
  </r>
  <r>
    <s v="ORD-1345"/>
    <x v="344"/>
    <s v="Dark Chocolate Bar"/>
    <s v="Bars"/>
    <n v="15"/>
    <n v="5"/>
    <n v="75"/>
    <s v="North"/>
    <m/>
  </r>
  <r>
    <s v="ORD-1346"/>
    <x v="345"/>
    <s v="Milk Chocolate Bar"/>
    <s v="Bars"/>
    <n v="24"/>
    <n v="4"/>
    <n v="96"/>
    <s v="South"/>
    <m/>
  </r>
  <r>
    <s v="ORD-1347"/>
    <x v="346"/>
    <s v="White Chocolate Raspberry"/>
    <s v="Bars"/>
    <n v="14"/>
    <n v="5.5"/>
    <n v="77"/>
    <s v="East"/>
    <m/>
  </r>
  <r>
    <s v="ORD-1348"/>
    <x v="347"/>
    <s v="Assorted Truffles Box"/>
    <s v="Boxes"/>
    <n v="8"/>
    <n v="20"/>
    <n v="160"/>
    <s v="West"/>
    <m/>
  </r>
  <r>
    <s v="ORD-1349"/>
    <x v="348"/>
    <s v="Caramel Sea Salt Squares"/>
    <s v="Candies"/>
    <n v="40"/>
    <n v="2.5"/>
    <n v="100"/>
    <s v="North"/>
    <m/>
  </r>
  <r>
    <s v="ORD-1350"/>
    <x v="349"/>
    <s v="Hazelnut Praline"/>
    <s v="Boxes"/>
    <n v="11"/>
    <n v="18"/>
    <n v="198"/>
    <s v="South"/>
    <m/>
  </r>
  <r>
    <s v="ORD-1351"/>
    <x v="350"/>
    <s v="Mint Chocolate Coin"/>
    <s v="Candies"/>
    <n v="75"/>
    <n v="1"/>
    <n v="75"/>
    <s v="East"/>
    <m/>
  </r>
  <r>
    <s v="ORD-1352"/>
    <x v="351"/>
    <s v="Almond Bark"/>
    <s v="Barks"/>
    <n v="16"/>
    <n v="6"/>
    <n v="96"/>
    <s v="West"/>
    <m/>
  </r>
  <r>
    <s v="ORD-1353"/>
    <x v="352"/>
    <s v="Dark Chocolate Bar"/>
    <s v="Bars"/>
    <n v="20"/>
    <n v="5"/>
    <n v="100"/>
    <s v="North"/>
    <m/>
  </r>
  <r>
    <s v="ORD-1354"/>
    <x v="353"/>
    <s v="Milk Chocolate Bar"/>
    <s v="Bars"/>
    <n v="30"/>
    <n v="4"/>
    <n v="120"/>
    <s v="South"/>
    <m/>
  </r>
  <r>
    <s v="ORD-1355"/>
    <x v="354"/>
    <s v="White Chocolate Raspberry"/>
    <s v="Bars"/>
    <n v="18"/>
    <n v="5.5"/>
    <n v="99"/>
    <s v="East"/>
    <m/>
  </r>
  <r>
    <s v="ORD-1356"/>
    <x v="355"/>
    <s v="Assorted Truffles Box"/>
    <s v="Boxes"/>
    <n v="12"/>
    <n v="20"/>
    <n v="240"/>
    <s v="West"/>
    <m/>
  </r>
  <r>
    <s v="ORD-1357"/>
    <x v="356"/>
    <s v="Caramel Sea Salt Squares"/>
    <s v="Candies"/>
    <n v="55"/>
    <n v="2.5"/>
    <n v="137.5"/>
    <s v="North"/>
    <m/>
  </r>
  <r>
    <s v="ORD-1358"/>
    <x v="357"/>
    <s v="Hazelnut Praline"/>
    <s v="Boxes"/>
    <n v="16"/>
    <n v="18"/>
    <n v="288"/>
    <s v="South"/>
    <m/>
  </r>
  <r>
    <s v="ORD-1359"/>
    <x v="358"/>
    <s v="Mint Chocolate Coin"/>
    <s v="Candies"/>
    <n v="120"/>
    <n v="1"/>
    <n v="120"/>
    <s v="East"/>
    <m/>
  </r>
  <r>
    <s v="ORD-1360"/>
    <x v="359"/>
    <s v="Almond Bark"/>
    <s v="Barks"/>
    <n v="22"/>
    <n v="6"/>
    <n v="132"/>
    <s v="West"/>
    <m/>
  </r>
  <r>
    <s v="ORD-1361"/>
    <x v="360"/>
    <s v="Dark Chocolate Bar"/>
    <s v="Bars"/>
    <n v="8"/>
    <n v="5"/>
    <n v="40"/>
    <s v="North"/>
    <m/>
  </r>
  <r>
    <s v="ORD-1362"/>
    <x v="361"/>
    <s v="Milk Chocolate Bar"/>
    <s v="Bars"/>
    <n v="14"/>
    <n v="4"/>
    <n v="56"/>
    <s v="South"/>
    <m/>
  </r>
  <r>
    <s v="ORD-1363"/>
    <x v="362"/>
    <s v="White Chocolate Raspberry"/>
    <s v="Bars"/>
    <n v="7"/>
    <n v="5.5"/>
    <n v="38.5"/>
    <s v="East"/>
    <m/>
  </r>
  <r>
    <s v="ORD-1364"/>
    <x v="363"/>
    <s v="Assorted Truffles Box"/>
    <s v="Boxes"/>
    <n v="4"/>
    <n v="20"/>
    <n v="80"/>
    <s v="West"/>
    <m/>
  </r>
  <r>
    <s v="ORD-1365"/>
    <x v="364"/>
    <s v="Caramel Sea Salt Squares"/>
    <s v="Candies"/>
    <n v="18"/>
    <n v="2.5"/>
    <n v="45"/>
    <s v="North"/>
    <m/>
  </r>
  <r>
    <s v="ORD-1366"/>
    <x v="365"/>
    <s v="Hazelnut Praline"/>
    <s v="Boxes"/>
    <n v="5"/>
    <n v="18"/>
    <n v="90"/>
    <s v="South"/>
    <m/>
  </r>
  <r>
    <s v="ORD-1367"/>
    <x v="366"/>
    <s v="Mint Chocolate Coin"/>
    <s v="Candies"/>
    <n v="30"/>
    <n v="1"/>
    <n v="30"/>
    <s v="East"/>
    <m/>
  </r>
  <r>
    <s v="ORD-1368"/>
    <x v="367"/>
    <s v="Almond Bark"/>
    <s v="Barks"/>
    <n v="7"/>
    <n v="6"/>
    <n v="42"/>
    <s v="West"/>
    <m/>
  </r>
  <r>
    <s v="ORD-1369"/>
    <x v="368"/>
    <s v="Dark Chocolate Bar"/>
    <s v="Bars"/>
    <n v="11"/>
    <n v="5"/>
    <n v="55"/>
    <s v="North"/>
    <m/>
  </r>
  <r>
    <s v="ORD-1370"/>
    <x v="369"/>
    <s v="Milk Chocolate Bar"/>
    <s v="Bars"/>
    <n v="17"/>
    <n v="4"/>
    <n v="68"/>
    <s v="South"/>
    <m/>
  </r>
  <r>
    <s v="ORD-1371"/>
    <x v="370"/>
    <s v="White Chocolate Raspberry"/>
    <s v="Bars"/>
    <n v="9"/>
    <n v="5.5"/>
    <n v="49.5"/>
    <s v="East"/>
    <m/>
  </r>
  <r>
    <s v="ORD-1372"/>
    <x v="371"/>
    <s v="Assorted Truffles Box"/>
    <s v="Boxes"/>
    <n v="5"/>
    <n v="20"/>
    <n v="100"/>
    <s v="West"/>
    <m/>
  </r>
  <r>
    <s v="ORD-1373"/>
    <x v="372"/>
    <s v="Caramel Sea Salt Squares"/>
    <s v="Candies"/>
    <n v="25"/>
    <n v="2.5"/>
    <n v="62.5"/>
    <s v="North"/>
    <m/>
  </r>
  <r>
    <s v="ORD-1374"/>
    <x v="373"/>
    <s v="Hazelnut Praline"/>
    <s v="Boxes"/>
    <n v="8"/>
    <n v="18"/>
    <n v="144"/>
    <s v="South"/>
    <m/>
  </r>
  <r>
    <s v="ORD-1375"/>
    <x v="374"/>
    <s v="Mint Chocolate Coin"/>
    <s v="Candies"/>
    <n v="45"/>
    <n v="1"/>
    <n v="45"/>
    <s v="East"/>
    <m/>
  </r>
  <r>
    <s v="ORD-1376"/>
    <x v="375"/>
    <s v="Almond Bark"/>
    <s v="Barks"/>
    <n v="10"/>
    <n v="6"/>
    <n v="60"/>
    <s v="West"/>
    <m/>
  </r>
  <r>
    <s v="ORD-1377"/>
    <x v="376"/>
    <s v="Dark Chocolate Bar"/>
    <s v="Bars"/>
    <n v="14"/>
    <n v="5"/>
    <n v="70"/>
    <s v="North"/>
    <m/>
  </r>
  <r>
    <s v="ORD-1378"/>
    <x v="377"/>
    <s v="Milk Chocolate Bar"/>
    <s v="Bars"/>
    <n v="21"/>
    <n v="4"/>
    <n v="84"/>
    <s v="South"/>
    <m/>
  </r>
  <r>
    <s v="ORD-1379"/>
    <x v="378"/>
    <s v="White Chocolate Raspberry"/>
    <s v="Bars"/>
    <n v="12"/>
    <n v="5.5"/>
    <n v="66"/>
    <s v="East"/>
    <m/>
  </r>
  <r>
    <s v="ORD-1380"/>
    <x v="379"/>
    <s v="Assorted Truffles Box"/>
    <s v="Boxes"/>
    <n v="7"/>
    <n v="20"/>
    <n v="140"/>
    <s v="West"/>
    <m/>
  </r>
  <r>
    <s v="ORD-1381"/>
    <x v="380"/>
    <s v="Caramel Sea Salt Squares"/>
    <s v="Candies"/>
    <n v="35"/>
    <n v="2.5"/>
    <n v="87.5"/>
    <s v="North"/>
    <m/>
  </r>
  <r>
    <s v="ORD-1382"/>
    <x v="381"/>
    <s v="Hazelnut Praline"/>
    <s v="Boxes"/>
    <n v="10"/>
    <n v="18"/>
    <n v="180"/>
    <s v="South"/>
    <m/>
  </r>
  <r>
    <s v="ORD-1383"/>
    <x v="382"/>
    <s v="Mint Chocolate Coin"/>
    <s v="Candies"/>
    <n v="65"/>
    <n v="1"/>
    <n v="65"/>
    <s v="East"/>
    <m/>
  </r>
  <r>
    <s v="ORD-1384"/>
    <x v="383"/>
    <s v="Almond Bark"/>
    <s v="Barks"/>
    <n v="14"/>
    <n v="6"/>
    <n v="84"/>
    <s v="West"/>
    <m/>
  </r>
  <r>
    <s v="ORD-1385"/>
    <x v="384"/>
    <s v="Dark Chocolate Bar"/>
    <s v="Bars"/>
    <n v="18"/>
    <n v="5"/>
    <n v="90"/>
    <s v="North"/>
    <m/>
  </r>
  <r>
    <s v="ORD-1386"/>
    <x v="385"/>
    <s v="Milk Chocolate Bar"/>
    <s v="Bars"/>
    <n v="26"/>
    <n v="4"/>
    <n v="104"/>
    <s v="South"/>
    <m/>
  </r>
  <r>
    <s v="ORD-1387"/>
    <x v="386"/>
    <s v="White Chocolate Raspberry"/>
    <s v="Bars"/>
    <n v="16"/>
    <n v="5.5"/>
    <n v="88"/>
    <s v="East"/>
    <m/>
  </r>
  <r>
    <s v="ORD-1388"/>
    <x v="387"/>
    <s v="Assorted Truffles Box"/>
    <s v="Boxes"/>
    <n v="10"/>
    <n v="20"/>
    <n v="200"/>
    <s v="West"/>
    <m/>
  </r>
  <r>
    <s v="ORD-1389"/>
    <x v="388"/>
    <s v="Caramel Sea Salt Squares"/>
    <s v="Candies"/>
    <n v="45"/>
    <n v="2.5"/>
    <n v="112.5"/>
    <s v="North"/>
    <m/>
  </r>
  <r>
    <s v="ORD-1390"/>
    <x v="389"/>
    <s v="Hazelnut Praline"/>
    <s v="Boxes"/>
    <n v="13"/>
    <n v="18"/>
    <n v="234"/>
    <s v="South"/>
    <m/>
  </r>
  <r>
    <s v="ORD-1391"/>
    <x v="390"/>
    <s v="Mint Chocolate Coin"/>
    <s v="Candies"/>
    <n v="85"/>
    <n v="1"/>
    <n v="85"/>
    <s v="East"/>
    <m/>
  </r>
  <r>
    <s v="ORD-1392"/>
    <x v="391"/>
    <s v="Almond Bark"/>
    <s v="Barks"/>
    <n v="18"/>
    <n v="6"/>
    <n v="108"/>
    <s v="West"/>
    <m/>
  </r>
  <r>
    <s v="ORD-1393"/>
    <x v="392"/>
    <s v="Dark Chocolate Bar"/>
    <s v="Bars"/>
    <n v="7"/>
    <n v="5"/>
    <n v="35"/>
    <s v="North"/>
    <m/>
  </r>
  <r>
    <s v="ORD-1394"/>
    <x v="393"/>
    <s v="Milk Chocolate Bar"/>
    <s v="Bars"/>
    <n v="12"/>
    <n v="4"/>
    <n v="48"/>
    <s v="South"/>
    <m/>
  </r>
  <r>
    <s v="ORD-1395"/>
    <x v="394"/>
    <s v="White Chocolate Raspberry"/>
    <s v="Bars"/>
    <n v="6"/>
    <n v="5.5"/>
    <n v="33"/>
    <s v="East"/>
    <m/>
  </r>
  <r>
    <s v="ORD-1396"/>
    <x v="395"/>
    <s v="Assorted Truffles Box"/>
    <s v="Boxes"/>
    <n v="4"/>
    <n v="20"/>
    <n v="80"/>
    <s v="West"/>
    <m/>
  </r>
  <r>
    <s v="ORD-1397"/>
    <x v="396"/>
    <s v="Caramel Sea Salt Squares"/>
    <s v="Candies"/>
    <n v="15"/>
    <n v="2.5"/>
    <n v="37.5"/>
    <s v="North"/>
    <m/>
  </r>
  <r>
    <s v="ORD-1398"/>
    <x v="397"/>
    <s v="Hazelnut Praline"/>
    <s v="Boxes"/>
    <n v="5"/>
    <n v="18"/>
    <n v="90"/>
    <s v="South"/>
    <m/>
  </r>
  <r>
    <s v="ORD-1399"/>
    <x v="398"/>
    <s v="Mint Chocolate Coin"/>
    <s v="Candies"/>
    <n v="30"/>
    <n v="1"/>
    <n v="30"/>
    <s v="East"/>
    <m/>
  </r>
  <r>
    <s v="ORD-1400"/>
    <x v="399"/>
    <s v="Almond Bark"/>
    <s v="Barks"/>
    <n v="8"/>
    <n v="6"/>
    <n v="48"/>
    <s v="West"/>
    <m/>
  </r>
  <r>
    <s v="ORD-1401"/>
    <x v="400"/>
    <s v="Dark Chocolate Bar"/>
    <s v="Bars"/>
    <n v="10"/>
    <n v="5"/>
    <n v="50"/>
    <s v="North"/>
    <m/>
  </r>
  <r>
    <s v="ORD-1402"/>
    <x v="401"/>
    <s v="Milk Chocolate Bar"/>
    <s v="Bars"/>
    <n v="16"/>
    <n v="4"/>
    <n v="64"/>
    <s v="South"/>
    <m/>
  </r>
  <r>
    <s v="ORD-1403"/>
    <x v="402"/>
    <s v="White Chocolate Raspberry"/>
    <s v="Bars"/>
    <n v="9"/>
    <n v="5.5"/>
    <n v="49.5"/>
    <s v="East"/>
    <m/>
  </r>
  <r>
    <s v="ORD-1404"/>
    <x v="403"/>
    <s v="Assorted Truffles Box"/>
    <s v="Boxes"/>
    <n v="5"/>
    <n v="20"/>
    <n v="100"/>
    <s v="West"/>
    <m/>
  </r>
  <r>
    <s v="ORD-1405"/>
    <x v="404"/>
    <s v="Caramel Sea Salt Squares"/>
    <s v="Candies"/>
    <n v="25"/>
    <n v="2.5"/>
    <n v="62.5"/>
    <s v="North"/>
    <m/>
  </r>
  <r>
    <s v="ORD-1406"/>
    <x v="405"/>
    <s v="Hazelnut Praline"/>
    <s v="Boxes"/>
    <n v="7"/>
    <n v="18"/>
    <n v="126"/>
    <s v="South"/>
    <m/>
  </r>
  <r>
    <s v="ORD-1407"/>
    <x v="406"/>
    <s v="Mint Chocolate Coin"/>
    <s v="Candies"/>
    <n v="45"/>
    <n v="1"/>
    <n v="45"/>
    <s v="East"/>
    <m/>
  </r>
  <r>
    <s v="ORD-1408"/>
    <x v="407"/>
    <s v="Almond Bark"/>
    <s v="Barks"/>
    <n v="10"/>
    <n v="6"/>
    <n v="60"/>
    <s v="West"/>
    <m/>
  </r>
  <r>
    <s v="ORD-1409"/>
    <x v="408"/>
    <s v="Dark Chocolate Bar"/>
    <s v="Bars"/>
    <n v="13"/>
    <n v="5"/>
    <n v="65"/>
    <s v="North"/>
    <m/>
  </r>
  <r>
    <s v="ORD-1410"/>
    <x v="409"/>
    <s v="Milk Chocolate Bar"/>
    <s v="Bars"/>
    <n v="20"/>
    <n v="4"/>
    <n v="80"/>
    <s v="South"/>
    <m/>
  </r>
  <r>
    <s v="ORD-1411"/>
    <x v="410"/>
    <s v="White Chocolate Raspberry"/>
    <s v="Bars"/>
    <n v="11"/>
    <n v="5.5"/>
    <n v="60.5"/>
    <s v="East"/>
    <m/>
  </r>
  <r>
    <s v="ORD-1412"/>
    <x v="411"/>
    <s v="Assorted Truffles Box"/>
    <s v="Boxes"/>
    <n v="7"/>
    <n v="20"/>
    <n v="140"/>
    <s v="West"/>
    <m/>
  </r>
  <r>
    <s v="ORD-1413"/>
    <x v="412"/>
    <s v="Caramel Sea Salt Squares"/>
    <s v="Candies"/>
    <n v="32"/>
    <n v="2.5"/>
    <n v="80"/>
    <s v="North"/>
    <m/>
  </r>
  <r>
    <s v="ORD-1414"/>
    <x v="413"/>
    <s v="Hazelnut Praline"/>
    <s v="Boxes"/>
    <n v="9"/>
    <n v="18"/>
    <n v="162"/>
    <s v="South"/>
    <m/>
  </r>
  <r>
    <s v="ORD-1415"/>
    <x v="414"/>
    <s v="Mint Chocolate Coin"/>
    <s v="Candies"/>
    <n v="60"/>
    <n v="1"/>
    <n v="60"/>
    <s v="East"/>
    <m/>
  </r>
  <r>
    <s v="ORD-1416"/>
    <x v="415"/>
    <s v="Almond Bark"/>
    <s v="Barks"/>
    <n v="13"/>
    <n v="6"/>
    <n v="78"/>
    <s v="West"/>
    <m/>
  </r>
  <r>
    <s v="ORD-1417"/>
    <x v="416"/>
    <s v="Dark Chocolate Bar"/>
    <s v="Bars"/>
    <n v="17"/>
    <n v="5"/>
    <n v="85"/>
    <s v="North"/>
    <m/>
  </r>
  <r>
    <s v="ORD-1418"/>
    <x v="417"/>
    <s v="Milk Chocolate Bar"/>
    <s v="Bars"/>
    <n v="25"/>
    <n v="4"/>
    <n v="100"/>
    <s v="South"/>
    <m/>
  </r>
  <r>
    <s v="ORD-1419"/>
    <x v="418"/>
    <s v="White Chocolate Raspberry"/>
    <s v="Bars"/>
    <n v="14"/>
    <n v="5.5"/>
    <n v="77"/>
    <s v="East"/>
    <m/>
  </r>
  <r>
    <s v="ORD-1420"/>
    <x v="419"/>
    <s v="Assorted Truffles Box"/>
    <s v="Boxes"/>
    <n v="9"/>
    <n v="20"/>
    <n v="180"/>
    <s v="West"/>
    <m/>
  </r>
  <r>
    <s v="ORD-1421"/>
    <x v="420"/>
    <s v="Caramel Sea Salt Squares"/>
    <s v="Candies"/>
    <n v="40"/>
    <n v="2.5"/>
    <n v="100"/>
    <s v="North"/>
    <m/>
  </r>
  <r>
    <s v="ORD-1422"/>
    <x v="421"/>
    <s v="Hazelnut Praline"/>
    <s v="Boxes"/>
    <n v="12"/>
    <n v="18"/>
    <n v="216"/>
    <s v="South"/>
    <m/>
  </r>
  <r>
    <s v="ORD-1423"/>
    <x v="422"/>
    <s v="Mint Chocolate Coin"/>
    <s v="Candies"/>
    <n v="75"/>
    <n v="1"/>
    <n v="75"/>
    <s v="East"/>
    <m/>
  </r>
  <r>
    <s v="ORD-1424"/>
    <x v="423"/>
    <s v="Almond Bark"/>
    <s v="Barks"/>
    <n v="16"/>
    <n v="6"/>
    <n v="96"/>
    <s v="West"/>
    <m/>
  </r>
  <r>
    <s v="ORD-1425"/>
    <x v="424"/>
    <s v="Dark Chocolate Bar"/>
    <s v="Bars"/>
    <n v="22"/>
    <n v="5"/>
    <n v="110"/>
    <s v="North"/>
    <m/>
  </r>
  <r>
    <s v="ORD-1426"/>
    <x v="425"/>
    <s v="Milk Chocolate Bar"/>
    <s v="Bars"/>
    <n v="32"/>
    <n v="4"/>
    <n v="128"/>
    <s v="South"/>
    <m/>
  </r>
  <r>
    <s v="ORD-1427"/>
    <x v="426"/>
    <s v="White Chocolate Raspberry"/>
    <s v="Bars"/>
    <n v="18"/>
    <n v="5.5"/>
    <n v="99"/>
    <s v="East"/>
    <m/>
  </r>
  <r>
    <s v="ORD-1428"/>
    <x v="427"/>
    <s v="Assorted Truffles Box"/>
    <s v="Boxes"/>
    <n v="12"/>
    <n v="20"/>
    <n v="240"/>
    <s v="West"/>
    <m/>
  </r>
  <r>
    <s v="ORD-1429"/>
    <x v="428"/>
    <s v="Caramel Sea Salt Squares"/>
    <s v="Candies"/>
    <n v="55"/>
    <n v="2.5"/>
    <n v="137.5"/>
    <s v="North"/>
    <m/>
  </r>
  <r>
    <s v="ORD-1430"/>
    <x v="429"/>
    <s v="Hazelnut Praline"/>
    <s v="Boxes"/>
    <n v="15"/>
    <n v="18"/>
    <n v="270"/>
    <s v="South"/>
    <m/>
  </r>
  <r>
    <s v="ORD-1431"/>
    <x v="430"/>
    <s v="Mint Chocolate Coin"/>
    <s v="Candies"/>
    <n v="95"/>
    <n v="1"/>
    <n v="95"/>
    <s v="East"/>
    <m/>
  </r>
  <r>
    <s v="ORD-1432"/>
    <x v="431"/>
    <s v="Almond Bark"/>
    <s v="Barks"/>
    <n v="20"/>
    <n v="6"/>
    <n v="120"/>
    <s v="West"/>
    <m/>
  </r>
  <r>
    <s v="ORD-1433"/>
    <x v="432"/>
    <s v="Dark Chocolate Bar"/>
    <s v="Bars"/>
    <n v="9"/>
    <n v="5"/>
    <n v="45"/>
    <s v="North"/>
    <m/>
  </r>
  <r>
    <s v="ORD-1434"/>
    <x v="433"/>
    <s v="Milk Chocolate Bar"/>
    <s v="Bars"/>
    <n v="14"/>
    <n v="4"/>
    <n v="56"/>
    <s v="South"/>
    <m/>
  </r>
  <r>
    <s v="ORD-1435"/>
    <x v="434"/>
    <s v="White Chocolate Raspberry"/>
    <s v="Bars"/>
    <n v="8"/>
    <n v="5.5"/>
    <n v="44"/>
    <s v="East"/>
    <m/>
  </r>
  <r>
    <s v="ORD-1436"/>
    <x v="435"/>
    <s v="Assorted Truffles Box"/>
    <s v="Boxes"/>
    <n v="4"/>
    <n v="20"/>
    <n v="80"/>
    <s v="West"/>
    <m/>
  </r>
  <r>
    <s v="ORD-1437"/>
    <x v="436"/>
    <s v="Caramel Sea Salt Squares"/>
    <s v="Candies"/>
    <n v="18"/>
    <n v="2.5"/>
    <n v="45"/>
    <s v="North"/>
    <m/>
  </r>
  <r>
    <s v="ORD-1438"/>
    <x v="437"/>
    <s v="Hazelnut Praline"/>
    <s v="Boxes"/>
    <n v="6"/>
    <n v="18"/>
    <n v="108"/>
    <s v="South"/>
    <m/>
  </r>
  <r>
    <s v="ORD-1439"/>
    <x v="438"/>
    <s v="Mint Chocolate Coin"/>
    <s v="Candies"/>
    <n v="35"/>
    <n v="1"/>
    <n v="35"/>
    <s v="East"/>
    <m/>
  </r>
  <r>
    <s v="ORD-1440"/>
    <x v="439"/>
    <s v="Almond Bark"/>
    <s v="Barks"/>
    <n v="9"/>
    <n v="6"/>
    <n v="54"/>
    <s v="West"/>
    <m/>
  </r>
  <r>
    <s v="ORD-1441"/>
    <x v="440"/>
    <s v="Dark Chocolate Bar"/>
    <s v="Bars"/>
    <n v="12"/>
    <n v="5"/>
    <n v="60"/>
    <s v="North"/>
    <m/>
  </r>
  <r>
    <s v="ORD-1442"/>
    <x v="441"/>
    <s v="Milk Chocolate Bar"/>
    <s v="Bars"/>
    <n v="18"/>
    <n v="4"/>
    <n v="72"/>
    <s v="South"/>
    <m/>
  </r>
  <r>
    <s v="ORD-1443"/>
    <x v="442"/>
    <s v="White Chocolate Raspberry"/>
    <s v="Bars"/>
    <n v="10"/>
    <n v="5.5"/>
    <n v="55"/>
    <s v="East"/>
    <m/>
  </r>
  <r>
    <s v="ORD-1444"/>
    <x v="443"/>
    <s v="Assorted Truffles Box"/>
    <s v="Boxes"/>
    <n v="6"/>
    <n v="20"/>
    <n v="120"/>
    <s v="West"/>
    <m/>
  </r>
  <r>
    <s v="ORD-1445"/>
    <x v="444"/>
    <s v="Caramel Sea Salt Squares"/>
    <s v="Candies"/>
    <n v="28"/>
    <n v="2.5"/>
    <n v="70"/>
    <s v="North"/>
    <m/>
  </r>
  <r>
    <s v="ORD-1446"/>
    <x v="445"/>
    <s v="Hazelnut Praline"/>
    <s v="Boxes"/>
    <n v="8"/>
    <n v="18"/>
    <n v="144"/>
    <s v="South"/>
    <m/>
  </r>
  <r>
    <s v="ORD-1447"/>
    <x v="446"/>
    <s v="Mint Chocolate Coin"/>
    <s v="Candies"/>
    <n v="50"/>
    <n v="1"/>
    <n v="50"/>
    <s v="East"/>
    <m/>
  </r>
  <r>
    <s v="ORD-1448"/>
    <x v="447"/>
    <s v="Almond Bark"/>
    <s v="Barks"/>
    <n v="12"/>
    <n v="6"/>
    <n v="72"/>
    <s v="West"/>
    <m/>
  </r>
  <r>
    <s v="ORD-1449"/>
    <x v="448"/>
    <s v="Dark Chocolate Bar"/>
    <s v="Bars"/>
    <n v="15"/>
    <n v="5"/>
    <n v="75"/>
    <s v="North"/>
    <m/>
  </r>
  <r>
    <s v="ORD-1450"/>
    <x v="449"/>
    <s v="Milk Chocolate Bar"/>
    <s v="Bars"/>
    <n v="24"/>
    <n v="4"/>
    <n v="96"/>
    <s v="South"/>
    <m/>
  </r>
  <r>
    <s v="ORD-1451"/>
    <x v="450"/>
    <s v="White Chocolate Raspberry"/>
    <s v="Bars"/>
    <n v="13"/>
    <n v="5.5"/>
    <n v="71.5"/>
    <s v="East"/>
    <m/>
  </r>
  <r>
    <s v="ORD-1452"/>
    <x v="451"/>
    <s v="Assorted Truffles Box"/>
    <s v="Boxes"/>
    <n v="8"/>
    <n v="20"/>
    <n v="160"/>
    <s v="West"/>
    <m/>
  </r>
  <r>
    <s v="ORD-1453"/>
    <x v="452"/>
    <s v="Caramel Sea Salt Squares"/>
    <s v="Candies"/>
    <n v="38"/>
    <n v="2.5"/>
    <n v="95"/>
    <s v="North"/>
    <m/>
  </r>
  <r>
    <s v="ORD-1454"/>
    <x v="453"/>
    <s v="Hazelnut Praline"/>
    <s v="Boxes"/>
    <n v="11"/>
    <n v="18"/>
    <n v="198"/>
    <s v="South"/>
    <m/>
  </r>
  <r>
    <s v="ORD-1455"/>
    <x v="454"/>
    <s v="Mint Chocolate Coin"/>
    <s v="Candies"/>
    <n v="70"/>
    <n v="1"/>
    <n v="70"/>
    <s v="East"/>
    <m/>
  </r>
  <r>
    <s v="ORD-1456"/>
    <x v="455"/>
    <s v="Almond Bark"/>
    <s v="Barks"/>
    <n v="15"/>
    <n v="6"/>
    <n v="90"/>
    <s v="West"/>
    <m/>
  </r>
  <r>
    <s v="ORD-1457"/>
    <x v="456"/>
    <s v="Dark Chocolate Bar"/>
    <s v="Bars"/>
    <n v="19"/>
    <n v="5"/>
    <n v="95"/>
    <s v="North"/>
    <m/>
  </r>
  <r>
    <s v="ORD-1458"/>
    <x v="457"/>
    <s v="Milk Chocolate Bar"/>
    <s v="Bars"/>
    <n v="28"/>
    <n v="4"/>
    <n v="112"/>
    <s v="South"/>
    <m/>
  </r>
  <r>
    <s v="ORD-1459"/>
    <x v="458"/>
    <s v="White Chocolate Raspberry"/>
    <s v="Bars"/>
    <n v="16"/>
    <n v="5.5"/>
    <n v="88"/>
    <s v="East"/>
    <m/>
  </r>
  <r>
    <s v="ORD-1460"/>
    <x v="459"/>
    <s v="Assorted Truffles Box"/>
    <s v="Boxes"/>
    <n v="10"/>
    <n v="20"/>
    <n v="200"/>
    <s v="West"/>
    <m/>
  </r>
  <r>
    <s v="ORD-1461"/>
    <x v="460"/>
    <s v="Caramel Sea Salt Squares"/>
    <s v="Candies"/>
    <n v="45"/>
    <n v="2.5"/>
    <n v="112.5"/>
    <s v="North"/>
    <m/>
  </r>
  <r>
    <s v="ORD-1462"/>
    <x v="461"/>
    <s v="Hazelnut Praline"/>
    <s v="Boxes"/>
    <n v="14"/>
    <n v="18"/>
    <n v="252"/>
    <s v="South"/>
    <m/>
  </r>
  <r>
    <s v="ORD-1463"/>
    <x v="462"/>
    <s v="Mint Chocolate Coin"/>
    <s v="Candies"/>
    <n v="85"/>
    <n v="1"/>
    <n v="85"/>
    <s v="East"/>
    <m/>
  </r>
  <r>
    <s v="ORD-1464"/>
    <x v="463"/>
    <s v="Almond Bark"/>
    <s v="Barks"/>
    <n v="18"/>
    <n v="6"/>
    <n v="108"/>
    <s v="West"/>
    <m/>
  </r>
  <r>
    <s v="ORD-1465"/>
    <x v="464"/>
    <s v="Dark Chocolate Bar"/>
    <s v="Bars"/>
    <n v="25"/>
    <n v="5"/>
    <n v="125"/>
    <s v="North"/>
    <m/>
  </r>
  <r>
    <s v="ORD-1466"/>
    <x v="465"/>
    <s v="Milk Chocolate Bar"/>
    <s v="Bars"/>
    <n v="35"/>
    <n v="4"/>
    <n v="140"/>
    <s v="South"/>
    <m/>
  </r>
  <r>
    <s v="ORD-1467"/>
    <x v="466"/>
    <s v="White Chocolate Raspberry"/>
    <s v="Bars"/>
    <n v="20"/>
    <n v="5.5"/>
    <n v="110"/>
    <s v="East"/>
    <m/>
  </r>
  <r>
    <s v="ORD-1468"/>
    <x v="467"/>
    <s v="Assorted Truffles Box"/>
    <s v="Boxes"/>
    <n v="15"/>
    <n v="20"/>
    <n v="300"/>
    <s v="West"/>
    <m/>
  </r>
  <r>
    <s v="ORD-1469"/>
    <x v="468"/>
    <s v="Caramel Sea Salt Squares"/>
    <s v="Candies"/>
    <n v="60"/>
    <n v="2.5"/>
    <n v="150"/>
    <s v="North"/>
    <m/>
  </r>
  <r>
    <s v="ORD-1470"/>
    <x v="469"/>
    <s v="Hazelnut Praline"/>
    <s v="Boxes"/>
    <n v="18"/>
    <n v="18"/>
    <n v="324"/>
    <s v="South"/>
    <m/>
  </r>
  <r>
    <s v="ORD-1471"/>
    <x v="470"/>
    <s v="Mint Chocolate Coin"/>
    <s v="Candies"/>
    <n v="110"/>
    <n v="1"/>
    <n v="110"/>
    <s v="East"/>
    <m/>
  </r>
  <r>
    <s v="ORD-1472"/>
    <x v="471"/>
    <s v="Almond Bark"/>
    <s v="Barks"/>
    <n v="22"/>
    <n v="6"/>
    <n v="132"/>
    <s v="West"/>
    <m/>
  </r>
  <r>
    <s v="ORD-1473"/>
    <x v="472"/>
    <s v="Dark Chocolate Bar"/>
    <s v="Bars"/>
    <n v="10"/>
    <n v="5"/>
    <n v="50"/>
    <s v="North"/>
    <m/>
  </r>
  <r>
    <s v="ORD-1474"/>
    <x v="473"/>
    <s v="Milk Chocolate Bar"/>
    <s v="Bars"/>
    <n v="16"/>
    <n v="4"/>
    <n v="64"/>
    <s v="South"/>
    <m/>
  </r>
  <r>
    <s v="ORD-1475"/>
    <x v="474"/>
    <s v="White Chocolate Raspberry"/>
    <s v="Bars"/>
    <n v="9"/>
    <n v="5.5"/>
    <n v="49.5"/>
    <s v="East"/>
    <m/>
  </r>
  <r>
    <s v="ORD-1476"/>
    <x v="475"/>
    <s v="Assorted Truffles Box"/>
    <s v="Boxes"/>
    <n v="5"/>
    <n v="20"/>
    <n v="100"/>
    <s v="West"/>
    <m/>
  </r>
  <r>
    <s v="ORD-1477"/>
    <x v="476"/>
    <s v="Caramel Sea Salt Squares"/>
    <s v="Candies"/>
    <n v="22"/>
    <n v="2.5"/>
    <n v="55"/>
    <s v="North"/>
    <m/>
  </r>
  <r>
    <s v="ORD-1478"/>
    <x v="477"/>
    <s v="Hazelnut Praline"/>
    <s v="Boxes"/>
    <n v="7"/>
    <n v="18"/>
    <n v="126"/>
    <s v="South"/>
    <m/>
  </r>
  <r>
    <s v="ORD-1479"/>
    <x v="478"/>
    <s v="Mint Chocolate Coin"/>
    <s v="Candies"/>
    <n v="40"/>
    <n v="1"/>
    <n v="40"/>
    <s v="East"/>
    <m/>
  </r>
  <r>
    <s v="ORD-1480"/>
    <x v="479"/>
    <s v="Almond Bark"/>
    <s v="Barks"/>
    <n v="10"/>
    <n v="6"/>
    <n v="60"/>
    <s v="West"/>
    <m/>
  </r>
  <r>
    <s v="ORD-1481"/>
    <x v="480"/>
    <s v="Dark Chocolate Bar"/>
    <s v="Bars"/>
    <n v="14"/>
    <n v="5"/>
    <n v="70"/>
    <s v="North"/>
    <m/>
  </r>
  <r>
    <s v="ORD-1482"/>
    <x v="481"/>
    <s v="Milk Chocolate Bar"/>
    <s v="Bars"/>
    <n v="21"/>
    <n v="4"/>
    <n v="84"/>
    <s v="South"/>
    <m/>
  </r>
  <r>
    <s v="ORD-1483"/>
    <x v="482"/>
    <s v="White Chocolate Raspberry"/>
    <s v="Bars"/>
    <n v="12"/>
    <n v="5.5"/>
    <n v="66"/>
    <s v="East"/>
    <m/>
  </r>
  <r>
    <s v="ORD-1484"/>
    <x v="483"/>
    <s v="Assorted Truffles Box"/>
    <s v="Boxes"/>
    <n v="7"/>
    <n v="20"/>
    <n v="140"/>
    <s v="West"/>
    <m/>
  </r>
  <r>
    <s v="ORD-1485"/>
    <x v="484"/>
    <s v="Caramel Sea Salt Squares"/>
    <s v="Candies"/>
    <n v="32"/>
    <n v="2.5"/>
    <n v="80"/>
    <s v="North"/>
    <m/>
  </r>
  <r>
    <s v="ORD-1486"/>
    <x v="485"/>
    <s v="Hazelnut Praline"/>
    <s v="Boxes"/>
    <n v="9"/>
    <n v="18"/>
    <n v="162"/>
    <s v="South"/>
    <m/>
  </r>
  <r>
    <s v="ORD-1487"/>
    <x v="486"/>
    <s v="Mint Chocolate Coin"/>
    <s v="Candies"/>
    <n v="60"/>
    <n v="1"/>
    <n v="60"/>
    <s v="East"/>
    <m/>
  </r>
  <r>
    <s v="ORD-1488"/>
    <x v="487"/>
    <s v="Almond Bark"/>
    <s v="Barks"/>
    <n v="14"/>
    <n v="6"/>
    <n v="84"/>
    <s v="West"/>
    <m/>
  </r>
  <r>
    <s v="ORD-1489"/>
    <x v="488"/>
    <s v="Dark Chocolate Bar"/>
    <s v="Bars"/>
    <n v="18"/>
    <n v="5"/>
    <n v="90"/>
    <s v="North"/>
    <m/>
  </r>
  <r>
    <s v="ORD-1490"/>
    <x v="489"/>
    <s v="Milk Chocolate Bar"/>
    <s v="Bars"/>
    <n v="26"/>
    <n v="4"/>
    <n v="104"/>
    <s v="South"/>
    <m/>
  </r>
  <r>
    <s v="ORD-1491"/>
    <x v="490"/>
    <s v="White Chocolate Raspberry"/>
    <s v="Bars"/>
    <n v="15"/>
    <n v="5.5"/>
    <n v="82.5"/>
    <s v="East"/>
    <m/>
  </r>
  <r>
    <s v="ORD-1492"/>
    <x v="491"/>
    <s v="Assorted Truffles Box"/>
    <s v="Boxes"/>
    <n v="9"/>
    <n v="20"/>
    <n v="180"/>
    <s v="West"/>
    <m/>
  </r>
  <r>
    <s v="ORD-1493"/>
    <x v="492"/>
    <s v="Caramel Sea Salt Squares"/>
    <s v="Candies"/>
    <n v="42"/>
    <n v="2.5"/>
    <n v="105"/>
    <s v="North"/>
    <m/>
  </r>
  <r>
    <s v="ORD-1494"/>
    <x v="493"/>
    <s v="Hazelnut Praline"/>
    <s v="Boxes"/>
    <n v="12"/>
    <n v="18"/>
    <n v="216"/>
    <s v="South"/>
    <m/>
  </r>
  <r>
    <s v="ORD-1495"/>
    <x v="494"/>
    <s v="Mint Chocolate Coin"/>
    <s v="Candies"/>
    <n v="80"/>
    <n v="1"/>
    <n v="80"/>
    <s v="East"/>
    <m/>
  </r>
  <r>
    <s v="ORD-1496"/>
    <x v="495"/>
    <s v="Almond Bark"/>
    <s v="Barks"/>
    <n v="17"/>
    <n v="6"/>
    <n v="102"/>
    <s v="West"/>
    <m/>
  </r>
  <r>
    <s v="ORD-1497"/>
    <x v="496"/>
    <s v="Dark Chocolate Bar"/>
    <s v="Bars"/>
    <n v="22"/>
    <n v="5"/>
    <n v="110"/>
    <s v="North"/>
    <m/>
  </r>
  <r>
    <s v="ORD-1498"/>
    <x v="497"/>
    <s v="Milk Chocolate Bar"/>
    <s v="Bars"/>
    <n v="32"/>
    <n v="4"/>
    <n v="128"/>
    <s v="South"/>
    <m/>
  </r>
  <r>
    <s v="ORD-1499"/>
    <x v="498"/>
    <s v="White Chocolate Raspberry"/>
    <s v="Bars"/>
    <n v="18"/>
    <n v="5.5"/>
    <n v="99"/>
    <s v="East"/>
    <m/>
  </r>
  <r>
    <s v="ORD-1500"/>
    <x v="499"/>
    <s v="Assorted Truffles Box"/>
    <s v="Boxes"/>
    <n v="11"/>
    <n v="20"/>
    <n v="220"/>
    <s v="West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A7CEAD-FD4B-4FB9-89E5-44EE0A388C67}" name="PivotChar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10" firstHeaderRow="0" firstDataRow="1" firstDataCol="1"/>
  <pivotFields count="3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Price" fld="1" baseField="0" baseItem="0"/>
    <dataField name="Sum of TotalSales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9" columnCount="2" cacheId="2062039787">
        <x15:pivotRow count="2">
          <x15:c>
            <x15:v>372</x15:v>
          </x15:c>
          <x15:c>
            <x15:v>4908</x15:v>
          </x15:c>
        </x15:pivotRow>
        <x15:pivotRow count="2">
          <x15:c>
            <x15:v>1260</x15:v>
          </x15:c>
          <x15:c>
            <x15:v>8640</x15:v>
          </x15:c>
        </x15:pivotRow>
        <x15:pivotRow count="2">
          <x15:c>
            <x15:v>155</x15:v>
          </x15:c>
          <x15:c>
            <x15:v>4925</x15:v>
          </x15:c>
        </x15:pivotRow>
        <x15:pivotRow count="2">
          <x15:c>
            <x15:v>315</x15:v>
          </x15:c>
          <x15:c>
            <x15:v>4130</x15:v>
          </x15:c>
        </x15:pivotRow>
        <x15:pivotRow count="2">
          <x15:c>
            <x15:v>1116</x15:v>
          </x15:c>
          <x15:c>
            <x15:v>10296</x15:v>
          </x15:c>
        </x15:pivotRow>
        <x15:pivotRow count="2">
          <x15:c>
            <x15:v>252</x15:v>
          </x15:c>
          <x15:c>
            <x15:v>5156</x15:v>
          </x15:c>
        </x15:pivotRow>
        <x15:pivotRow count="2">
          <x15:c>
            <x15:v>62</x15:v>
          </x15:c>
          <x15:c>
            <x15:v>3915</x15:v>
          </x15:c>
        </x15:pivotRow>
        <x15:pivotRow count="2">
          <x15:c>
            <x15:v>346.5</x15:v>
          </x15:c>
          <x15:c>
            <x15:v>3976.5</x15:v>
          </x15:c>
        </x15:pivotRow>
        <x15:pivotRow count="2">
          <x15:c>
            <x15:v>3878.5</x15:v>
          </x15:c>
          <x15:c>
            <x15:v>45946.5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Sheet1!R1C1:R501C1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59E323-F2CB-4186-BA52-7BB6F57126A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15" firstHeaderRow="1" firstDataRow="4" firstDataCol="1"/>
  <pivotFields count="5">
    <pivotField axis="axisCol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Col" allDrilled="1" subtotalTop="0" showAll="0" dataSourceSort="1" defaultSubtotal="0">
      <items count="4">
        <item x="0" e="0"/>
        <item x="1" e="0"/>
        <item x="2" e="0"/>
        <item x="3" e="0"/>
      </items>
    </pivotField>
    <pivotField axis="axisCol" allDrilled="1" subtotalTop="0" showAll="0" dataSourceSort="1" defaultSubtotal="0">
      <items count="2">
        <item x="0" e="0"/>
        <item x="1" e="0"/>
      </items>
    </pivotField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3">
    <field x="2"/>
    <field x="1"/>
    <field x="0"/>
  </colFields>
  <colItems count="3">
    <i>
      <x/>
    </i>
    <i>
      <x v="1"/>
    </i>
    <i t="grand">
      <x/>
    </i>
  </colItems>
  <dataFields count="1">
    <dataField name="Sum of TotalSales" fld="4" baseField="0" baseItem="0"/>
  </dataFields>
  <chartFormats count="1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5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6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7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5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6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7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3">
    <colHierarchyUsage hierarchyUsage="11"/>
    <colHierarchyUsage hierarchyUsage="12"/>
    <colHierarchyUsage hierarchyUsage="1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R1C1:R501C1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48F256-CF06-4EBD-A1E7-F65C7DD20BE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503" firstHeaderRow="1" firstDataRow="1" firstDataCol="1"/>
  <pivotFields count="9">
    <pivotField compact="0" outline="0" showAll="0"/>
    <pivotField axis="axisRow" compact="0" numFmtId="14" outline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5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 t="grand">
      <x/>
    </i>
  </rowItems>
  <colItems count="1">
    <i/>
  </colItems>
  <dataFields count="1">
    <dataField name="Sum of UnitPrice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E473EF-BC3D-4BE9-9A5C-A86DD5A500B4}" name="Table1" displayName="Table1" ref="A1:E9" totalsRowShown="0">
  <autoFilter ref="A1:E9" xr:uid="{C1E473EF-BC3D-4BE9-9A5C-A86DD5A500B4}"/>
  <tableColumns count="5">
    <tableColumn id="1" xr3:uid="{3B008452-9F30-4B7E-A6D5-ED9ECB1D1907}" name="Date" dataDxfId="2"/>
    <tableColumn id="2" xr3:uid="{B8C29FF5-46FE-4AFA-AE00-2FD822D31C5A}" name="Result"/>
    <tableColumn id="3" xr3:uid="{83927194-96BA-4AD2-B1B1-821EB4723394}" name="Forecast(Result)"/>
    <tableColumn id="4" xr3:uid="{6BEE40D7-46AE-4EB1-A190-62889E75D34E}" name="Lower Confidence Bound(Result)" dataDxfId="1"/>
    <tableColumn id="5" xr3:uid="{81CF5A17-D4A9-430E-B026-E282BC4D4A32}" name="Upper Confidence Bound(Result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3FB81-8765-4F27-89B9-830DACE0CD6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633D7-A4E8-4943-8F68-C313A1AF3788}">
  <dimension ref="A1:E9"/>
  <sheetViews>
    <sheetView workbookViewId="0">
      <selection activeCell="D17" sqref="D17"/>
    </sheetView>
  </sheetViews>
  <sheetFormatPr defaultRowHeight="14.4" x14ac:dyDescent="0.3"/>
  <cols>
    <col min="1" max="1" width="10.33203125" bestFit="1" customWidth="1"/>
    <col min="2" max="2" width="9" bestFit="1" customWidth="1"/>
    <col min="3" max="3" width="16.6640625" customWidth="1"/>
    <col min="4" max="4" width="29.6640625" customWidth="1"/>
    <col min="5" max="5" width="29.88671875" customWidth="1"/>
  </cols>
  <sheetData>
    <row r="1" spans="1:5" x14ac:dyDescent="0.3">
      <c r="A1" t="s">
        <v>501</v>
      </c>
      <c r="B1" t="s">
        <v>527</v>
      </c>
      <c r="C1" t="s">
        <v>534</v>
      </c>
      <c r="D1" t="s">
        <v>535</v>
      </c>
      <c r="E1" t="s">
        <v>536</v>
      </c>
    </row>
    <row r="2" spans="1:5" x14ac:dyDescent="0.3">
      <c r="A2" s="5">
        <v>45658</v>
      </c>
      <c r="B2">
        <v>45946.5</v>
      </c>
    </row>
    <row r="3" spans="1:5" x14ac:dyDescent="0.3">
      <c r="A3" s="5">
        <v>45659</v>
      </c>
      <c r="B3">
        <v>92.077154308617239</v>
      </c>
    </row>
    <row r="4" spans="1:5" x14ac:dyDescent="0.3">
      <c r="A4" s="5">
        <v>45660</v>
      </c>
      <c r="B4">
        <v>80</v>
      </c>
    </row>
    <row r="5" spans="1:5" x14ac:dyDescent="0.3">
      <c r="A5" s="5">
        <v>45661</v>
      </c>
      <c r="B5">
        <v>60</v>
      </c>
    </row>
    <row r="6" spans="1:5" x14ac:dyDescent="0.3">
      <c r="A6" s="5">
        <v>45662</v>
      </c>
      <c r="B6">
        <v>-0.58886724137931046</v>
      </c>
    </row>
    <row r="7" spans="1:5" x14ac:dyDescent="0.3">
      <c r="A7" s="5">
        <v>45663</v>
      </c>
      <c r="B7">
        <v>499</v>
      </c>
      <c r="C7">
        <v>499</v>
      </c>
      <c r="D7" s="7">
        <v>499</v>
      </c>
      <c r="E7" s="7">
        <v>499</v>
      </c>
    </row>
    <row r="8" spans="1:5" x14ac:dyDescent="0.3">
      <c r="A8" s="5">
        <v>45664</v>
      </c>
      <c r="C8">
        <f>_xlfn.FORECAST.ETS(A8,$B$2:$B$7,$A$2:$A$7,1,1)</f>
        <v>-4195.8952391091752</v>
      </c>
      <c r="D8" s="7">
        <f>C8-_xlfn.FORECAST.ETS.CONFINT(A8,$B$2:$B$7,$A$2:$A$7,0.95,1,1)</f>
        <v>-38176.90857385406</v>
      </c>
      <c r="E8" s="7">
        <f>C8+_xlfn.FORECAST.ETS.CONFINT(A8,$B$2:$B$7,$A$2:$A$7,0.95,1,1)</f>
        <v>29785.118095635713</v>
      </c>
    </row>
    <row r="9" spans="1:5" x14ac:dyDescent="0.3">
      <c r="A9" s="5">
        <v>45665</v>
      </c>
      <c r="C9">
        <f>_xlfn.FORECAST.ETS(A9,$B$2:$B$7,$A$2:$A$7,1,1)</f>
        <v>-8376.7559154946375</v>
      </c>
      <c r="D9" s="7">
        <f>C9-_xlfn.FORECAST.ETS.CONFINT(A9,$B$2:$B$7,$A$2:$A$7,0.95,1,1)</f>
        <v>-54116.272803235013</v>
      </c>
      <c r="E9" s="7">
        <f>C9+_xlfn.FORECAST.ETS.CONFINT(A9,$B$2:$B$7,$A$2:$A$7,0.95,1,1)</f>
        <v>37362.760972245742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92E6F-D4B3-4929-8F64-EDC0C7656EB2}">
  <dimension ref="A3:D15"/>
  <sheetViews>
    <sheetView workbookViewId="0">
      <selection activeCell="J19" sqref="J19"/>
    </sheetView>
  </sheetViews>
  <sheetFormatPr defaultRowHeight="14.4" x14ac:dyDescent="0.3"/>
  <cols>
    <col min="1" max="1" width="23" bestFit="1" customWidth="1"/>
    <col min="2" max="2" width="15.5546875" bestFit="1" customWidth="1"/>
    <col min="3" max="3" width="8" bestFit="1" customWidth="1"/>
    <col min="4" max="4" width="10.5546875" bestFit="1" customWidth="1"/>
    <col min="5" max="5" width="6.33203125" bestFit="1" customWidth="1"/>
    <col min="6" max="6" width="6" bestFit="1" customWidth="1"/>
    <col min="7" max="7" width="5.33203125" bestFit="1" customWidth="1"/>
    <col min="8" max="8" width="6.33203125" bestFit="1" customWidth="1"/>
    <col min="9" max="9" width="5.6640625" bestFit="1" customWidth="1"/>
    <col min="10" max="10" width="5.88671875" bestFit="1" customWidth="1"/>
    <col min="11" max="11" width="6.33203125" bestFit="1" customWidth="1"/>
    <col min="12" max="13" width="5.88671875" bestFit="1" customWidth="1"/>
    <col min="14" max="14" width="6.6640625" bestFit="1" customWidth="1"/>
    <col min="15" max="16" width="5.77734375" bestFit="1" customWidth="1"/>
    <col min="17" max="17" width="6.33203125" bestFit="1" customWidth="1"/>
    <col min="18" max="18" width="6" bestFit="1" customWidth="1"/>
    <col min="19" max="19" width="10.5546875" bestFit="1" customWidth="1"/>
    <col min="20" max="501" width="10.33203125" bestFit="1" customWidth="1"/>
    <col min="502" max="502" width="10.5546875" bestFit="1" customWidth="1"/>
  </cols>
  <sheetData>
    <row r="3" spans="1:4" x14ac:dyDescent="0.3">
      <c r="A3" s="4" t="s">
        <v>541</v>
      </c>
      <c r="B3" s="4" t="s">
        <v>538</v>
      </c>
    </row>
    <row r="4" spans="1:4" x14ac:dyDescent="0.3">
      <c r="B4" t="s">
        <v>539</v>
      </c>
      <c r="C4" t="s">
        <v>540</v>
      </c>
      <c r="D4" t="s">
        <v>525</v>
      </c>
    </row>
    <row r="6" spans="1:4" x14ac:dyDescent="0.3">
      <c r="A6" s="4" t="s">
        <v>537</v>
      </c>
    </row>
    <row r="7" spans="1:4" x14ac:dyDescent="0.3">
      <c r="A7" s="8" t="s">
        <v>522</v>
      </c>
      <c r="B7">
        <v>3510</v>
      </c>
      <c r="C7">
        <v>1398</v>
      </c>
      <c r="D7">
        <v>4908</v>
      </c>
    </row>
    <row r="8" spans="1:4" x14ac:dyDescent="0.3">
      <c r="A8" s="8" t="s">
        <v>515</v>
      </c>
      <c r="B8">
        <v>5960</v>
      </c>
      <c r="C8">
        <v>2680</v>
      </c>
      <c r="D8">
        <v>8640</v>
      </c>
    </row>
    <row r="9" spans="1:4" x14ac:dyDescent="0.3">
      <c r="A9" s="8" t="s">
        <v>518</v>
      </c>
      <c r="B9">
        <v>3532.5</v>
      </c>
      <c r="C9">
        <v>1392.5</v>
      </c>
      <c r="D9">
        <v>4925</v>
      </c>
    </row>
    <row r="10" spans="1:4" x14ac:dyDescent="0.3">
      <c r="A10" s="8" t="s">
        <v>508</v>
      </c>
      <c r="B10">
        <v>2850</v>
      </c>
      <c r="C10">
        <v>1280</v>
      </c>
      <c r="D10">
        <v>4130</v>
      </c>
    </row>
    <row r="11" spans="1:4" x14ac:dyDescent="0.3">
      <c r="A11" s="8" t="s">
        <v>520</v>
      </c>
      <c r="B11">
        <v>7254</v>
      </c>
      <c r="C11">
        <v>3042</v>
      </c>
      <c r="D11">
        <v>10296</v>
      </c>
    </row>
    <row r="12" spans="1:4" x14ac:dyDescent="0.3">
      <c r="A12" s="8" t="s">
        <v>511</v>
      </c>
      <c r="B12">
        <v>3624</v>
      </c>
      <c r="C12">
        <v>1532</v>
      </c>
      <c r="D12">
        <v>5156</v>
      </c>
    </row>
    <row r="13" spans="1:4" x14ac:dyDescent="0.3">
      <c r="A13" s="8" t="s">
        <v>521</v>
      </c>
      <c r="B13">
        <v>2855</v>
      </c>
      <c r="C13">
        <v>1060</v>
      </c>
      <c r="D13">
        <v>3915</v>
      </c>
    </row>
    <row r="14" spans="1:4" x14ac:dyDescent="0.3">
      <c r="A14" s="8" t="s">
        <v>513</v>
      </c>
      <c r="B14">
        <v>2788.5</v>
      </c>
      <c r="C14">
        <v>1188</v>
      </c>
      <c r="D14">
        <v>3976.5</v>
      </c>
    </row>
    <row r="15" spans="1:4" x14ac:dyDescent="0.3">
      <c r="A15" s="8" t="s">
        <v>525</v>
      </c>
      <c r="B15">
        <v>32374</v>
      </c>
      <c r="C15">
        <v>13572.5</v>
      </c>
      <c r="D15">
        <v>45946.5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37824-B9BD-4579-9391-CE3EF1DD944F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DA5D7-0699-4145-8FC1-E80707D5936F}">
  <dimension ref="A1:K1000"/>
  <sheetViews>
    <sheetView tabSelected="1" zoomScale="130" zoomScaleNormal="130" workbookViewId="0">
      <selection activeCell="G4" sqref="G4"/>
    </sheetView>
  </sheetViews>
  <sheetFormatPr defaultRowHeight="14.4" x14ac:dyDescent="0.3"/>
  <cols>
    <col min="1" max="1" width="15.5546875" customWidth="1"/>
    <col min="2" max="2" width="14.6640625" customWidth="1"/>
    <col min="3" max="3" width="20.5546875" customWidth="1"/>
    <col min="7" max="7" width="21" customWidth="1"/>
    <col min="10" max="10" width="16.33203125" customWidth="1"/>
  </cols>
  <sheetData>
    <row r="1" spans="1:11" ht="15" thickBot="1" x14ac:dyDescent="0.35">
      <c r="A1" s="1" t="s">
        <v>0</v>
      </c>
      <c r="B1" s="1" t="s">
        <v>501</v>
      </c>
      <c r="C1" s="1" t="s">
        <v>502</v>
      </c>
      <c r="D1" s="1" t="s">
        <v>503</v>
      </c>
      <c r="E1" s="1" t="s">
        <v>504</v>
      </c>
      <c r="F1" s="1" t="s">
        <v>505</v>
      </c>
      <c r="G1" s="1" t="s">
        <v>506</v>
      </c>
      <c r="H1" s="1" t="s">
        <v>507</v>
      </c>
      <c r="I1" t="str">
        <f>IF(F2&gt;=E2,"Y","N")</f>
        <v>N</v>
      </c>
      <c r="J1" s="6" t="s">
        <v>526</v>
      </c>
      <c r="K1" s="6" t="s">
        <v>527</v>
      </c>
    </row>
    <row r="2" spans="1:11" ht="15" thickBot="1" x14ac:dyDescent="0.35">
      <c r="A2" s="1" t="s">
        <v>1</v>
      </c>
      <c r="B2" s="2">
        <v>45658</v>
      </c>
      <c r="C2" s="1" t="s">
        <v>508</v>
      </c>
      <c r="D2" s="1" t="s">
        <v>509</v>
      </c>
      <c r="E2" s="3">
        <v>10</v>
      </c>
      <c r="F2" s="3">
        <v>5</v>
      </c>
      <c r="G2" s="3">
        <v>50</v>
      </c>
      <c r="H2" s="1" t="s">
        <v>510</v>
      </c>
      <c r="J2" t="s">
        <v>528</v>
      </c>
      <c r="K2">
        <f>SUM(G:G)</f>
        <v>45946.5</v>
      </c>
    </row>
    <row r="3" spans="1:11" ht="15" thickBot="1" x14ac:dyDescent="0.35">
      <c r="A3" s="1" t="s">
        <v>2</v>
      </c>
      <c r="B3" s="2">
        <v>45659</v>
      </c>
      <c r="C3" s="1" t="s">
        <v>511</v>
      </c>
      <c r="D3" s="1" t="s">
        <v>509</v>
      </c>
      <c r="E3" s="3">
        <v>25</v>
      </c>
      <c r="F3" s="3">
        <v>4</v>
      </c>
      <c r="G3" s="3">
        <v>100</v>
      </c>
      <c r="H3" s="1" t="s">
        <v>512</v>
      </c>
      <c r="J3" t="s">
        <v>529</v>
      </c>
      <c r="K3">
        <f>AVERAGE(G:G)</f>
        <v>92.077154308617239</v>
      </c>
    </row>
    <row r="4" spans="1:11" ht="27.6" thickBot="1" x14ac:dyDescent="0.35">
      <c r="A4" s="1" t="s">
        <v>3</v>
      </c>
      <c r="B4" s="2">
        <v>45660</v>
      </c>
      <c r="C4" s="1" t="s">
        <v>513</v>
      </c>
      <c r="D4" s="1" t="s">
        <v>509</v>
      </c>
      <c r="E4" s="3">
        <v>15</v>
      </c>
      <c r="F4" s="3">
        <v>5.5</v>
      </c>
      <c r="G4" s="3"/>
      <c r="H4" s="1" t="s">
        <v>514</v>
      </c>
      <c r="J4" t="s">
        <v>530</v>
      </c>
      <c r="K4">
        <f>MEDIAN(G:G)</f>
        <v>80</v>
      </c>
    </row>
    <row r="5" spans="1:11" ht="15" thickBot="1" x14ac:dyDescent="0.35">
      <c r="A5" s="1" t="s">
        <v>4</v>
      </c>
      <c r="B5" s="2">
        <v>45661</v>
      </c>
      <c r="C5" s="1" t="s">
        <v>515</v>
      </c>
      <c r="D5" s="1" t="s">
        <v>516</v>
      </c>
      <c r="E5" s="3">
        <v>5</v>
      </c>
      <c r="F5" s="3">
        <v>20</v>
      </c>
      <c r="G5" s="3">
        <v>100</v>
      </c>
      <c r="H5" s="1" t="s">
        <v>517</v>
      </c>
      <c r="J5" t="s">
        <v>531</v>
      </c>
      <c r="K5" cm="1">
        <f t="array" ref="K5">_xlfn.MODE.MULT(G:G)</f>
        <v>60</v>
      </c>
    </row>
    <row r="6" spans="1:11" ht="27.6" thickBot="1" x14ac:dyDescent="0.35">
      <c r="A6" s="1" t="s">
        <v>5</v>
      </c>
      <c r="B6" s="2">
        <v>45662</v>
      </c>
      <c r="C6" s="1" t="s">
        <v>518</v>
      </c>
      <c r="D6" s="1" t="s">
        <v>519</v>
      </c>
      <c r="E6" s="3">
        <v>30</v>
      </c>
      <c r="F6" s="3">
        <v>2.5</v>
      </c>
      <c r="G6" s="3">
        <v>75</v>
      </c>
      <c r="H6" s="1" t="s">
        <v>510</v>
      </c>
      <c r="J6" t="s">
        <v>532</v>
      </c>
      <c r="K6">
        <f>STANDARDIZE(G:G,92.07715,29)</f>
        <v>-0.58886724137931046</v>
      </c>
    </row>
    <row r="7" spans="1:11" ht="15" thickBot="1" x14ac:dyDescent="0.35">
      <c r="A7" s="1" t="s">
        <v>6</v>
      </c>
      <c r="B7" s="2">
        <v>45663</v>
      </c>
      <c r="C7" s="1" t="s">
        <v>520</v>
      </c>
      <c r="D7" s="1" t="s">
        <v>516</v>
      </c>
      <c r="E7" s="3">
        <v>8</v>
      </c>
      <c r="F7" s="3">
        <v>18</v>
      </c>
      <c r="G7" s="3">
        <v>144</v>
      </c>
      <c r="H7" s="1" t="s">
        <v>512</v>
      </c>
      <c r="J7" t="s">
        <v>533</v>
      </c>
      <c r="K7">
        <f>COUNT(G:G)</f>
        <v>499</v>
      </c>
    </row>
    <row r="8" spans="1:11" ht="15" thickBot="1" x14ac:dyDescent="0.35">
      <c r="A8" s="1" t="s">
        <v>7</v>
      </c>
      <c r="B8" s="2">
        <v>45664</v>
      </c>
      <c r="C8" s="1" t="s">
        <v>521</v>
      </c>
      <c r="D8" s="1" t="s">
        <v>519</v>
      </c>
      <c r="E8" s="3">
        <v>50</v>
      </c>
      <c r="F8" s="3">
        <v>1</v>
      </c>
      <c r="G8" s="3">
        <v>50</v>
      </c>
      <c r="H8" s="1" t="s">
        <v>514</v>
      </c>
    </row>
    <row r="9" spans="1:11" ht="15" thickBot="1" x14ac:dyDescent="0.35">
      <c r="A9" s="1" t="s">
        <v>8</v>
      </c>
      <c r="B9" s="2">
        <v>45665</v>
      </c>
      <c r="C9" s="1" t="s">
        <v>522</v>
      </c>
      <c r="D9" s="1" t="s">
        <v>523</v>
      </c>
      <c r="E9" s="3">
        <v>12</v>
      </c>
      <c r="F9" s="3">
        <v>6</v>
      </c>
      <c r="G9" s="3">
        <v>72</v>
      </c>
      <c r="H9" s="1" t="s">
        <v>517</v>
      </c>
    </row>
    <row r="10" spans="1:11" ht="15" thickBot="1" x14ac:dyDescent="0.35">
      <c r="A10" s="1" t="s">
        <v>9</v>
      </c>
      <c r="B10" s="2">
        <v>45666</v>
      </c>
      <c r="C10" s="1" t="s">
        <v>508</v>
      </c>
      <c r="D10" s="1" t="s">
        <v>509</v>
      </c>
      <c r="E10" s="3">
        <v>20</v>
      </c>
      <c r="F10" s="3">
        <v>5</v>
      </c>
      <c r="G10" s="3">
        <v>100</v>
      </c>
      <c r="H10" s="1" t="s">
        <v>510</v>
      </c>
    </row>
    <row r="11" spans="1:11" ht="15" thickBot="1" x14ac:dyDescent="0.35">
      <c r="A11" s="1" t="s">
        <v>10</v>
      </c>
      <c r="B11" s="2">
        <v>45667</v>
      </c>
      <c r="C11" s="1" t="s">
        <v>511</v>
      </c>
      <c r="D11" s="1" t="s">
        <v>509</v>
      </c>
      <c r="E11" s="3">
        <v>15</v>
      </c>
      <c r="F11" s="3">
        <v>4</v>
      </c>
      <c r="G11" s="3">
        <v>60</v>
      </c>
      <c r="H11" s="1" t="s">
        <v>512</v>
      </c>
    </row>
    <row r="12" spans="1:11" ht="27.6" thickBot="1" x14ac:dyDescent="0.35">
      <c r="A12" s="1" t="s">
        <v>11</v>
      </c>
      <c r="B12" s="2">
        <v>45668</v>
      </c>
      <c r="C12" s="1" t="s">
        <v>513</v>
      </c>
      <c r="D12" s="1" t="s">
        <v>509</v>
      </c>
      <c r="E12" s="3">
        <v>10</v>
      </c>
      <c r="F12" s="3">
        <v>5.5</v>
      </c>
      <c r="G12" s="3">
        <v>55</v>
      </c>
      <c r="H12" s="1" t="s">
        <v>514</v>
      </c>
    </row>
    <row r="13" spans="1:11" ht="15" thickBot="1" x14ac:dyDescent="0.35">
      <c r="A13" s="1" t="s">
        <v>12</v>
      </c>
      <c r="B13" s="2">
        <v>45669</v>
      </c>
      <c r="C13" s="1" t="s">
        <v>515</v>
      </c>
      <c r="D13" s="1" t="s">
        <v>516</v>
      </c>
      <c r="E13" s="3">
        <v>10</v>
      </c>
      <c r="F13" s="3">
        <v>20</v>
      </c>
      <c r="G13" s="3">
        <v>200</v>
      </c>
      <c r="H13" s="1" t="s">
        <v>517</v>
      </c>
    </row>
    <row r="14" spans="1:11" ht="27.6" thickBot="1" x14ac:dyDescent="0.35">
      <c r="A14" s="1" t="s">
        <v>13</v>
      </c>
      <c r="B14" s="2">
        <v>45670</v>
      </c>
      <c r="C14" s="1" t="s">
        <v>518</v>
      </c>
      <c r="D14" s="1" t="s">
        <v>519</v>
      </c>
      <c r="E14" s="3">
        <v>40</v>
      </c>
      <c r="F14" s="3">
        <v>2.5</v>
      </c>
      <c r="G14" s="3">
        <v>100</v>
      </c>
      <c r="H14" s="1" t="s">
        <v>510</v>
      </c>
    </row>
    <row r="15" spans="1:11" ht="15" thickBot="1" x14ac:dyDescent="0.35">
      <c r="A15" s="1" t="s">
        <v>14</v>
      </c>
      <c r="B15" s="2">
        <v>45671</v>
      </c>
      <c r="C15" s="1" t="s">
        <v>520</v>
      </c>
      <c r="D15" s="1" t="s">
        <v>516</v>
      </c>
      <c r="E15" s="3">
        <v>12</v>
      </c>
      <c r="F15" s="3">
        <v>18</v>
      </c>
      <c r="G15" s="3">
        <v>216</v>
      </c>
      <c r="H15" s="1" t="s">
        <v>512</v>
      </c>
    </row>
    <row r="16" spans="1:11" ht="15" thickBot="1" x14ac:dyDescent="0.35">
      <c r="A16" s="1" t="s">
        <v>15</v>
      </c>
      <c r="B16" s="2">
        <v>45672</v>
      </c>
      <c r="C16" s="1" t="s">
        <v>521</v>
      </c>
      <c r="D16" s="1" t="s">
        <v>519</v>
      </c>
      <c r="E16" s="3">
        <v>100</v>
      </c>
      <c r="F16" s="3">
        <v>1</v>
      </c>
      <c r="G16" s="3">
        <v>100</v>
      </c>
      <c r="H16" s="1" t="s">
        <v>514</v>
      </c>
    </row>
    <row r="17" spans="1:8" ht="15" thickBot="1" x14ac:dyDescent="0.35">
      <c r="A17" s="1" t="s">
        <v>16</v>
      </c>
      <c r="B17" s="2">
        <v>45673</v>
      </c>
      <c r="C17" s="1" t="s">
        <v>522</v>
      </c>
      <c r="D17" s="1" t="s">
        <v>523</v>
      </c>
      <c r="E17" s="3">
        <v>15</v>
      </c>
      <c r="F17" s="3">
        <v>6</v>
      </c>
      <c r="G17" s="3">
        <v>90</v>
      </c>
      <c r="H17" s="1" t="s">
        <v>517</v>
      </c>
    </row>
    <row r="18" spans="1:8" ht="15" thickBot="1" x14ac:dyDescent="0.35">
      <c r="A18" s="1" t="s">
        <v>17</v>
      </c>
      <c r="B18" s="2">
        <v>45674</v>
      </c>
      <c r="C18" s="1" t="s">
        <v>508</v>
      </c>
      <c r="D18" s="1" t="s">
        <v>509</v>
      </c>
      <c r="E18" s="3">
        <v>5</v>
      </c>
      <c r="F18" s="3">
        <v>5</v>
      </c>
      <c r="G18" s="3">
        <v>25</v>
      </c>
      <c r="H18" s="1" t="s">
        <v>510</v>
      </c>
    </row>
    <row r="19" spans="1:8" ht="15" thickBot="1" x14ac:dyDescent="0.35">
      <c r="A19" s="1" t="s">
        <v>18</v>
      </c>
      <c r="B19" s="2">
        <v>45675</v>
      </c>
      <c r="C19" s="1" t="s">
        <v>511</v>
      </c>
      <c r="D19" s="1" t="s">
        <v>509</v>
      </c>
      <c r="E19" s="3">
        <v>30</v>
      </c>
      <c r="F19" s="3">
        <v>4</v>
      </c>
      <c r="G19" s="3">
        <v>120</v>
      </c>
      <c r="H19" s="1" t="s">
        <v>512</v>
      </c>
    </row>
    <row r="20" spans="1:8" ht="27.6" thickBot="1" x14ac:dyDescent="0.35">
      <c r="A20" s="1" t="s">
        <v>19</v>
      </c>
      <c r="B20" s="2">
        <v>45676</v>
      </c>
      <c r="C20" s="1" t="s">
        <v>513</v>
      </c>
      <c r="D20" s="1" t="s">
        <v>509</v>
      </c>
      <c r="E20" s="3">
        <v>20</v>
      </c>
      <c r="F20" s="3">
        <v>5.5</v>
      </c>
      <c r="G20" s="3">
        <v>110</v>
      </c>
      <c r="H20" s="1" t="s">
        <v>514</v>
      </c>
    </row>
    <row r="21" spans="1:8" ht="15" thickBot="1" x14ac:dyDescent="0.35">
      <c r="A21" s="1" t="s">
        <v>20</v>
      </c>
      <c r="B21" s="2">
        <v>45677</v>
      </c>
      <c r="C21" s="1" t="s">
        <v>515</v>
      </c>
      <c r="D21" s="1" t="s">
        <v>516</v>
      </c>
      <c r="E21" s="3">
        <v>2</v>
      </c>
      <c r="F21" s="3">
        <v>20</v>
      </c>
      <c r="G21" s="3">
        <v>40</v>
      </c>
      <c r="H21" s="1" t="s">
        <v>517</v>
      </c>
    </row>
    <row r="22" spans="1:8" ht="27.6" thickBot="1" x14ac:dyDescent="0.35">
      <c r="A22" s="1" t="s">
        <v>21</v>
      </c>
      <c r="B22" s="2">
        <v>45678</v>
      </c>
      <c r="C22" s="1" t="s">
        <v>518</v>
      </c>
      <c r="D22" s="1" t="s">
        <v>519</v>
      </c>
      <c r="E22" s="3">
        <v>25</v>
      </c>
      <c r="F22" s="3">
        <v>2.5</v>
      </c>
      <c r="G22" s="3">
        <v>62.5</v>
      </c>
      <c r="H22" s="1" t="s">
        <v>510</v>
      </c>
    </row>
    <row r="23" spans="1:8" ht="15" thickBot="1" x14ac:dyDescent="0.35">
      <c r="A23" s="1" t="s">
        <v>22</v>
      </c>
      <c r="B23" s="2">
        <v>45679</v>
      </c>
      <c r="C23" s="1" t="s">
        <v>520</v>
      </c>
      <c r="D23" s="1" t="s">
        <v>516</v>
      </c>
      <c r="E23" s="3">
        <v>4</v>
      </c>
      <c r="F23" s="3">
        <v>18</v>
      </c>
      <c r="G23" s="3">
        <v>72</v>
      </c>
      <c r="H23" s="1" t="s">
        <v>512</v>
      </c>
    </row>
    <row r="24" spans="1:8" ht="15" thickBot="1" x14ac:dyDescent="0.35">
      <c r="A24" s="1" t="s">
        <v>23</v>
      </c>
      <c r="B24" s="2">
        <v>45680</v>
      </c>
      <c r="C24" s="1" t="s">
        <v>521</v>
      </c>
      <c r="D24" s="1" t="s">
        <v>519</v>
      </c>
      <c r="E24" s="3">
        <v>60</v>
      </c>
      <c r="F24" s="3">
        <v>1</v>
      </c>
      <c r="G24" s="3">
        <v>60</v>
      </c>
      <c r="H24" s="1" t="s">
        <v>514</v>
      </c>
    </row>
    <row r="25" spans="1:8" ht="15" thickBot="1" x14ac:dyDescent="0.35">
      <c r="A25" s="1" t="s">
        <v>24</v>
      </c>
      <c r="B25" s="2">
        <v>45681</v>
      </c>
      <c r="C25" s="1" t="s">
        <v>522</v>
      </c>
      <c r="D25" s="1" t="s">
        <v>523</v>
      </c>
      <c r="E25" s="3">
        <v>8</v>
      </c>
      <c r="F25" s="3">
        <v>6</v>
      </c>
      <c r="G25" s="3">
        <v>48</v>
      </c>
      <c r="H25" s="1" t="s">
        <v>517</v>
      </c>
    </row>
    <row r="26" spans="1:8" ht="15" thickBot="1" x14ac:dyDescent="0.35">
      <c r="A26" s="1" t="s">
        <v>25</v>
      </c>
      <c r="B26" s="2">
        <v>45682</v>
      </c>
      <c r="C26" s="1" t="s">
        <v>508</v>
      </c>
      <c r="D26" s="1" t="s">
        <v>509</v>
      </c>
      <c r="E26" s="3">
        <v>12</v>
      </c>
      <c r="F26" s="3">
        <v>5</v>
      </c>
      <c r="G26" s="3">
        <v>60</v>
      </c>
      <c r="H26" s="1" t="s">
        <v>510</v>
      </c>
    </row>
    <row r="27" spans="1:8" ht="15" thickBot="1" x14ac:dyDescent="0.35">
      <c r="A27" s="1" t="s">
        <v>26</v>
      </c>
      <c r="B27" s="2">
        <v>45683</v>
      </c>
      <c r="C27" s="1" t="s">
        <v>511</v>
      </c>
      <c r="D27" s="1" t="s">
        <v>509</v>
      </c>
      <c r="E27" s="3">
        <v>18</v>
      </c>
      <c r="F27" s="3">
        <v>4</v>
      </c>
      <c r="G27" s="3">
        <v>72</v>
      </c>
      <c r="H27" s="1" t="s">
        <v>512</v>
      </c>
    </row>
    <row r="28" spans="1:8" ht="27.6" thickBot="1" x14ac:dyDescent="0.35">
      <c r="A28" s="1" t="s">
        <v>27</v>
      </c>
      <c r="B28" s="2">
        <v>45684</v>
      </c>
      <c r="C28" s="1" t="s">
        <v>513</v>
      </c>
      <c r="D28" s="1" t="s">
        <v>509</v>
      </c>
      <c r="E28" s="3">
        <v>8</v>
      </c>
      <c r="F28" s="3">
        <v>5.5</v>
      </c>
      <c r="G28" s="3">
        <v>44</v>
      </c>
      <c r="H28" s="1" t="s">
        <v>514</v>
      </c>
    </row>
    <row r="29" spans="1:8" ht="15" thickBot="1" x14ac:dyDescent="0.35">
      <c r="A29" s="1" t="s">
        <v>28</v>
      </c>
      <c r="B29" s="2">
        <v>45685</v>
      </c>
      <c r="C29" s="1" t="s">
        <v>515</v>
      </c>
      <c r="D29" s="1" t="s">
        <v>516</v>
      </c>
      <c r="E29" s="3">
        <v>7</v>
      </c>
      <c r="F29" s="3">
        <v>20</v>
      </c>
      <c r="G29" s="3">
        <v>140</v>
      </c>
      <c r="H29" s="1" t="s">
        <v>517</v>
      </c>
    </row>
    <row r="30" spans="1:8" ht="27.6" thickBot="1" x14ac:dyDescent="0.35">
      <c r="A30" s="1" t="s">
        <v>29</v>
      </c>
      <c r="B30" s="2">
        <v>45686</v>
      </c>
      <c r="C30" s="1" t="s">
        <v>518</v>
      </c>
      <c r="D30" s="1" t="s">
        <v>519</v>
      </c>
      <c r="E30" s="3">
        <v>35</v>
      </c>
      <c r="F30" s="3">
        <v>2.5</v>
      </c>
      <c r="G30" s="3">
        <v>87.5</v>
      </c>
      <c r="H30" s="1" t="s">
        <v>510</v>
      </c>
    </row>
    <row r="31" spans="1:8" ht="15" thickBot="1" x14ac:dyDescent="0.35">
      <c r="A31" s="1" t="s">
        <v>30</v>
      </c>
      <c r="B31" s="2">
        <v>45687</v>
      </c>
      <c r="C31" s="1" t="s">
        <v>520</v>
      </c>
      <c r="D31" s="1" t="s">
        <v>516</v>
      </c>
      <c r="E31" s="3">
        <v>9</v>
      </c>
      <c r="F31" s="3">
        <v>18</v>
      </c>
      <c r="G31" s="3">
        <v>162</v>
      </c>
      <c r="H31" s="1" t="s">
        <v>512</v>
      </c>
    </row>
    <row r="32" spans="1:8" ht="15" thickBot="1" x14ac:dyDescent="0.35">
      <c r="A32" s="1" t="s">
        <v>31</v>
      </c>
      <c r="B32" s="2">
        <v>45688</v>
      </c>
      <c r="C32" s="1" t="s">
        <v>521</v>
      </c>
      <c r="D32" s="1" t="s">
        <v>519</v>
      </c>
      <c r="E32" s="3">
        <v>80</v>
      </c>
      <c r="F32" s="3">
        <v>1</v>
      </c>
      <c r="G32" s="3">
        <v>80</v>
      </c>
      <c r="H32" s="1" t="s">
        <v>514</v>
      </c>
    </row>
    <row r="33" spans="1:8" ht="15" thickBot="1" x14ac:dyDescent="0.35">
      <c r="A33" s="1" t="s">
        <v>32</v>
      </c>
      <c r="B33" s="2">
        <v>45689</v>
      </c>
      <c r="C33" s="1" t="s">
        <v>522</v>
      </c>
      <c r="D33" s="1" t="s">
        <v>523</v>
      </c>
      <c r="E33" s="3">
        <v>20</v>
      </c>
      <c r="F33" s="3">
        <v>6</v>
      </c>
      <c r="G33" s="3">
        <v>120</v>
      </c>
      <c r="H33" s="1" t="s">
        <v>517</v>
      </c>
    </row>
    <row r="34" spans="1:8" ht="15" thickBot="1" x14ac:dyDescent="0.35">
      <c r="A34" s="1" t="s">
        <v>33</v>
      </c>
      <c r="B34" s="2">
        <v>45690</v>
      </c>
      <c r="C34" s="1" t="s">
        <v>508</v>
      </c>
      <c r="D34" s="1" t="s">
        <v>509</v>
      </c>
      <c r="E34" s="3">
        <v>14</v>
      </c>
      <c r="F34" s="3">
        <v>5</v>
      </c>
      <c r="G34" s="3">
        <v>70</v>
      </c>
      <c r="H34" s="1" t="s">
        <v>510</v>
      </c>
    </row>
    <row r="35" spans="1:8" ht="15" thickBot="1" x14ac:dyDescent="0.35">
      <c r="A35" s="1" t="s">
        <v>34</v>
      </c>
      <c r="B35" s="2">
        <v>45691</v>
      </c>
      <c r="C35" s="1" t="s">
        <v>511</v>
      </c>
      <c r="D35" s="1" t="s">
        <v>509</v>
      </c>
      <c r="E35" s="3">
        <v>22</v>
      </c>
      <c r="F35" s="3">
        <v>4</v>
      </c>
      <c r="G35" s="3">
        <v>88</v>
      </c>
      <c r="H35" s="1" t="s">
        <v>512</v>
      </c>
    </row>
    <row r="36" spans="1:8" ht="27.6" thickBot="1" x14ac:dyDescent="0.35">
      <c r="A36" s="1" t="s">
        <v>35</v>
      </c>
      <c r="B36" s="2">
        <v>45692</v>
      </c>
      <c r="C36" s="1" t="s">
        <v>513</v>
      </c>
      <c r="D36" s="1" t="s">
        <v>509</v>
      </c>
      <c r="E36" s="3">
        <v>12</v>
      </c>
      <c r="F36" s="3">
        <v>5.5</v>
      </c>
      <c r="G36" s="3">
        <v>66</v>
      </c>
      <c r="H36" s="1" t="s">
        <v>514</v>
      </c>
    </row>
    <row r="37" spans="1:8" ht="15" thickBot="1" x14ac:dyDescent="0.35">
      <c r="A37" s="1" t="s">
        <v>36</v>
      </c>
      <c r="B37" s="2">
        <v>45693</v>
      </c>
      <c r="C37" s="1" t="s">
        <v>515</v>
      </c>
      <c r="D37" s="1" t="s">
        <v>516</v>
      </c>
      <c r="E37" s="3">
        <v>4</v>
      </c>
      <c r="F37" s="3">
        <v>20</v>
      </c>
      <c r="G37" s="3">
        <v>80</v>
      </c>
      <c r="H37" s="1" t="s">
        <v>517</v>
      </c>
    </row>
    <row r="38" spans="1:8" ht="27.6" thickBot="1" x14ac:dyDescent="0.35">
      <c r="A38" s="1" t="s">
        <v>37</v>
      </c>
      <c r="B38" s="2">
        <v>45694</v>
      </c>
      <c r="C38" s="1" t="s">
        <v>518</v>
      </c>
      <c r="D38" s="1" t="s">
        <v>519</v>
      </c>
      <c r="E38" s="3">
        <v>15</v>
      </c>
      <c r="F38" s="3">
        <v>2.5</v>
      </c>
      <c r="G38" s="3">
        <v>37.5</v>
      </c>
      <c r="H38" s="1" t="s">
        <v>510</v>
      </c>
    </row>
    <row r="39" spans="1:8" ht="15" thickBot="1" x14ac:dyDescent="0.35">
      <c r="A39" s="1" t="s">
        <v>38</v>
      </c>
      <c r="B39" s="2">
        <v>45695</v>
      </c>
      <c r="C39" s="1" t="s">
        <v>520</v>
      </c>
      <c r="D39" s="1" t="s">
        <v>516</v>
      </c>
      <c r="E39" s="3">
        <v>6</v>
      </c>
      <c r="F39" s="3">
        <v>18</v>
      </c>
      <c r="G39" s="3">
        <v>108</v>
      </c>
      <c r="H39" s="1" t="s">
        <v>512</v>
      </c>
    </row>
    <row r="40" spans="1:8" ht="15" thickBot="1" x14ac:dyDescent="0.35">
      <c r="A40" s="1" t="s">
        <v>39</v>
      </c>
      <c r="B40" s="2">
        <v>45696</v>
      </c>
      <c r="C40" s="1" t="s">
        <v>521</v>
      </c>
      <c r="D40" s="1" t="s">
        <v>519</v>
      </c>
      <c r="E40" s="3">
        <v>40</v>
      </c>
      <c r="F40" s="3">
        <v>1</v>
      </c>
      <c r="G40" s="3">
        <v>40</v>
      </c>
      <c r="H40" s="1" t="s">
        <v>514</v>
      </c>
    </row>
    <row r="41" spans="1:8" ht="15" thickBot="1" x14ac:dyDescent="0.35">
      <c r="A41" s="1" t="s">
        <v>40</v>
      </c>
      <c r="B41" s="2">
        <v>45697</v>
      </c>
      <c r="C41" s="1" t="s">
        <v>522</v>
      </c>
      <c r="D41" s="1" t="s">
        <v>523</v>
      </c>
      <c r="E41" s="3">
        <v>10</v>
      </c>
      <c r="F41" s="3">
        <v>6</v>
      </c>
      <c r="G41" s="3">
        <v>60</v>
      </c>
      <c r="H41" s="1" t="s">
        <v>517</v>
      </c>
    </row>
    <row r="42" spans="1:8" ht="15" thickBot="1" x14ac:dyDescent="0.35">
      <c r="A42" s="1" t="s">
        <v>41</v>
      </c>
      <c r="B42" s="2">
        <v>45698</v>
      </c>
      <c r="C42" s="1" t="s">
        <v>508</v>
      </c>
      <c r="D42" s="1" t="s">
        <v>509</v>
      </c>
      <c r="E42" s="3">
        <v>16</v>
      </c>
      <c r="F42" s="3">
        <v>5</v>
      </c>
      <c r="G42" s="3">
        <v>80</v>
      </c>
      <c r="H42" s="1" t="s">
        <v>510</v>
      </c>
    </row>
    <row r="43" spans="1:8" ht="15" thickBot="1" x14ac:dyDescent="0.35">
      <c r="A43" s="1" t="s">
        <v>42</v>
      </c>
      <c r="B43" s="2">
        <v>45699</v>
      </c>
      <c r="C43" s="1" t="s">
        <v>511</v>
      </c>
      <c r="D43" s="1" t="s">
        <v>509</v>
      </c>
      <c r="E43" s="3">
        <v>28</v>
      </c>
      <c r="F43" s="3">
        <v>4</v>
      </c>
      <c r="G43" s="3">
        <v>112</v>
      </c>
      <c r="H43" s="1" t="s">
        <v>512</v>
      </c>
    </row>
    <row r="44" spans="1:8" ht="27.6" thickBot="1" x14ac:dyDescent="0.35">
      <c r="A44" s="1" t="s">
        <v>43</v>
      </c>
      <c r="B44" s="2">
        <v>45700</v>
      </c>
      <c r="C44" s="1" t="s">
        <v>513</v>
      </c>
      <c r="D44" s="1" t="s">
        <v>509</v>
      </c>
      <c r="E44" s="3">
        <v>18</v>
      </c>
      <c r="F44" s="3">
        <v>5.5</v>
      </c>
      <c r="G44" s="3">
        <v>99</v>
      </c>
      <c r="H44" s="1" t="s">
        <v>514</v>
      </c>
    </row>
    <row r="45" spans="1:8" ht="15" thickBot="1" x14ac:dyDescent="0.35">
      <c r="A45" s="1" t="s">
        <v>44</v>
      </c>
      <c r="B45" s="2">
        <v>45701</v>
      </c>
      <c r="C45" s="1" t="s">
        <v>515</v>
      </c>
      <c r="D45" s="1" t="s">
        <v>516</v>
      </c>
      <c r="E45" s="3">
        <v>9</v>
      </c>
      <c r="F45" s="3">
        <v>20</v>
      </c>
      <c r="G45" s="3">
        <v>180</v>
      </c>
      <c r="H45" s="1" t="s">
        <v>517</v>
      </c>
    </row>
    <row r="46" spans="1:8" ht="27.6" thickBot="1" x14ac:dyDescent="0.35">
      <c r="A46" s="1" t="s">
        <v>45</v>
      </c>
      <c r="B46" s="2">
        <v>45702</v>
      </c>
      <c r="C46" s="1" t="s">
        <v>518</v>
      </c>
      <c r="D46" s="1" t="s">
        <v>519</v>
      </c>
      <c r="E46" s="3">
        <v>50</v>
      </c>
      <c r="F46" s="3">
        <v>2.5</v>
      </c>
      <c r="G46" s="3">
        <v>125</v>
      </c>
      <c r="H46" s="1" t="s">
        <v>510</v>
      </c>
    </row>
    <row r="47" spans="1:8" ht="15" thickBot="1" x14ac:dyDescent="0.35">
      <c r="A47" s="1" t="s">
        <v>46</v>
      </c>
      <c r="B47" s="2">
        <v>45703</v>
      </c>
      <c r="C47" s="1" t="s">
        <v>520</v>
      </c>
      <c r="D47" s="1" t="s">
        <v>516</v>
      </c>
      <c r="E47" s="3">
        <v>15</v>
      </c>
      <c r="F47" s="3">
        <v>18</v>
      </c>
      <c r="G47" s="3">
        <v>270</v>
      </c>
      <c r="H47" s="1" t="s">
        <v>512</v>
      </c>
    </row>
    <row r="48" spans="1:8" ht="15" thickBot="1" x14ac:dyDescent="0.35">
      <c r="A48" s="1" t="s">
        <v>47</v>
      </c>
      <c r="B48" s="2">
        <v>45704</v>
      </c>
      <c r="C48" s="1" t="s">
        <v>521</v>
      </c>
      <c r="D48" s="1" t="s">
        <v>519</v>
      </c>
      <c r="E48" s="3">
        <v>120</v>
      </c>
      <c r="F48" s="3">
        <v>1</v>
      </c>
      <c r="G48" s="3">
        <v>120</v>
      </c>
      <c r="H48" s="1" t="s">
        <v>514</v>
      </c>
    </row>
    <row r="49" spans="1:8" ht="15" thickBot="1" x14ac:dyDescent="0.35">
      <c r="A49" s="1" t="s">
        <v>48</v>
      </c>
      <c r="B49" s="2">
        <v>45705</v>
      </c>
      <c r="C49" s="1" t="s">
        <v>522</v>
      </c>
      <c r="D49" s="1" t="s">
        <v>523</v>
      </c>
      <c r="E49" s="3">
        <v>25</v>
      </c>
      <c r="F49" s="3">
        <v>6</v>
      </c>
      <c r="G49" s="3">
        <v>150</v>
      </c>
      <c r="H49" s="1" t="s">
        <v>517</v>
      </c>
    </row>
    <row r="50" spans="1:8" ht="15" thickBot="1" x14ac:dyDescent="0.35">
      <c r="A50" s="1" t="s">
        <v>49</v>
      </c>
      <c r="B50" s="2">
        <v>45706</v>
      </c>
      <c r="C50" s="1" t="s">
        <v>508</v>
      </c>
      <c r="D50" s="1" t="s">
        <v>509</v>
      </c>
      <c r="E50" s="3">
        <v>8</v>
      </c>
      <c r="F50" s="3">
        <v>5</v>
      </c>
      <c r="G50" s="3">
        <v>40</v>
      </c>
      <c r="H50" s="1" t="s">
        <v>510</v>
      </c>
    </row>
    <row r="51" spans="1:8" ht="15" thickBot="1" x14ac:dyDescent="0.35">
      <c r="A51" s="1" t="s">
        <v>50</v>
      </c>
      <c r="B51" s="2">
        <v>45707</v>
      </c>
      <c r="C51" s="1" t="s">
        <v>511</v>
      </c>
      <c r="D51" s="1" t="s">
        <v>509</v>
      </c>
      <c r="E51" s="3">
        <v>12</v>
      </c>
      <c r="F51" s="3">
        <v>4</v>
      </c>
      <c r="G51" s="3">
        <v>48</v>
      </c>
      <c r="H51" s="1" t="s">
        <v>512</v>
      </c>
    </row>
    <row r="52" spans="1:8" ht="27.6" thickBot="1" x14ac:dyDescent="0.35">
      <c r="A52" s="1" t="s">
        <v>51</v>
      </c>
      <c r="B52" s="2">
        <v>45708</v>
      </c>
      <c r="C52" s="1" t="s">
        <v>513</v>
      </c>
      <c r="D52" s="1" t="s">
        <v>509</v>
      </c>
      <c r="E52" s="3">
        <v>6</v>
      </c>
      <c r="F52" s="3">
        <v>5.5</v>
      </c>
      <c r="G52" s="3">
        <v>33</v>
      </c>
      <c r="H52" s="1" t="s">
        <v>514</v>
      </c>
    </row>
    <row r="53" spans="1:8" ht="15" thickBot="1" x14ac:dyDescent="0.35">
      <c r="A53" s="1" t="s">
        <v>52</v>
      </c>
      <c r="B53" s="2">
        <v>45709</v>
      </c>
      <c r="C53" s="1" t="s">
        <v>515</v>
      </c>
      <c r="D53" s="1" t="s">
        <v>516</v>
      </c>
      <c r="E53" s="3">
        <v>3</v>
      </c>
      <c r="F53" s="3">
        <v>20</v>
      </c>
      <c r="G53" s="3">
        <v>60</v>
      </c>
      <c r="H53" s="1" t="s">
        <v>517</v>
      </c>
    </row>
    <row r="54" spans="1:8" ht="27.6" thickBot="1" x14ac:dyDescent="0.35">
      <c r="A54" s="1" t="s">
        <v>53</v>
      </c>
      <c r="B54" s="2">
        <v>45710</v>
      </c>
      <c r="C54" s="1" t="s">
        <v>518</v>
      </c>
      <c r="D54" s="1" t="s">
        <v>519</v>
      </c>
      <c r="E54" s="3">
        <v>20</v>
      </c>
      <c r="F54" s="3">
        <v>2.5</v>
      </c>
      <c r="G54" s="3">
        <v>50</v>
      </c>
      <c r="H54" s="1" t="s">
        <v>510</v>
      </c>
    </row>
    <row r="55" spans="1:8" ht="15" thickBot="1" x14ac:dyDescent="0.35">
      <c r="A55" s="1" t="s">
        <v>54</v>
      </c>
      <c r="B55" s="2">
        <v>45711</v>
      </c>
      <c r="C55" s="1" t="s">
        <v>520</v>
      </c>
      <c r="D55" s="1" t="s">
        <v>516</v>
      </c>
      <c r="E55" s="3">
        <v>5</v>
      </c>
      <c r="F55" s="3">
        <v>18</v>
      </c>
      <c r="G55" s="3">
        <v>90</v>
      </c>
      <c r="H55" s="1" t="s">
        <v>512</v>
      </c>
    </row>
    <row r="56" spans="1:8" ht="15" thickBot="1" x14ac:dyDescent="0.35">
      <c r="A56" s="1" t="s">
        <v>55</v>
      </c>
      <c r="B56" s="2">
        <v>45712</v>
      </c>
      <c r="C56" s="1" t="s">
        <v>521</v>
      </c>
      <c r="D56" s="1" t="s">
        <v>519</v>
      </c>
      <c r="E56" s="3">
        <v>30</v>
      </c>
      <c r="F56" s="3">
        <v>1</v>
      </c>
      <c r="G56" s="3">
        <v>30</v>
      </c>
      <c r="H56" s="1" t="s">
        <v>514</v>
      </c>
    </row>
    <row r="57" spans="1:8" ht="15" thickBot="1" x14ac:dyDescent="0.35">
      <c r="A57" s="1" t="s">
        <v>56</v>
      </c>
      <c r="B57" s="2">
        <v>45713</v>
      </c>
      <c r="C57" s="1" t="s">
        <v>522</v>
      </c>
      <c r="D57" s="1" t="s">
        <v>523</v>
      </c>
      <c r="E57" s="3">
        <v>7</v>
      </c>
      <c r="F57" s="3">
        <v>6</v>
      </c>
      <c r="G57" s="3">
        <v>42</v>
      </c>
      <c r="H57" s="1" t="s">
        <v>517</v>
      </c>
    </row>
    <row r="58" spans="1:8" ht="15" thickBot="1" x14ac:dyDescent="0.35">
      <c r="A58" s="1" t="s">
        <v>57</v>
      </c>
      <c r="B58" s="2">
        <v>45714</v>
      </c>
      <c r="C58" s="1" t="s">
        <v>508</v>
      </c>
      <c r="D58" s="1" t="s">
        <v>509</v>
      </c>
      <c r="E58" s="3">
        <v>11</v>
      </c>
      <c r="F58" s="3">
        <v>5</v>
      </c>
      <c r="G58" s="3">
        <v>55</v>
      </c>
      <c r="H58" s="1" t="s">
        <v>510</v>
      </c>
    </row>
    <row r="59" spans="1:8" ht="15" thickBot="1" x14ac:dyDescent="0.35">
      <c r="A59" s="1" t="s">
        <v>58</v>
      </c>
      <c r="B59" s="2">
        <v>45715</v>
      </c>
      <c r="C59" s="1" t="s">
        <v>511</v>
      </c>
      <c r="D59" s="1" t="s">
        <v>509</v>
      </c>
      <c r="E59" s="3">
        <v>16</v>
      </c>
      <c r="F59" s="3">
        <v>4</v>
      </c>
      <c r="G59" s="3">
        <v>64</v>
      </c>
      <c r="H59" s="1" t="s">
        <v>512</v>
      </c>
    </row>
    <row r="60" spans="1:8" ht="27.6" thickBot="1" x14ac:dyDescent="0.35">
      <c r="A60" s="1" t="s">
        <v>59</v>
      </c>
      <c r="B60" s="2">
        <v>45716</v>
      </c>
      <c r="C60" s="1" t="s">
        <v>513</v>
      </c>
      <c r="D60" s="1" t="s">
        <v>509</v>
      </c>
      <c r="E60" s="3">
        <v>9</v>
      </c>
      <c r="F60" s="3">
        <v>5.5</v>
      </c>
      <c r="G60" s="3">
        <v>49.5</v>
      </c>
      <c r="H60" s="1" t="s">
        <v>514</v>
      </c>
    </row>
    <row r="61" spans="1:8" ht="15" thickBot="1" x14ac:dyDescent="0.35">
      <c r="A61" s="1" t="s">
        <v>60</v>
      </c>
      <c r="B61" s="2">
        <v>45717</v>
      </c>
      <c r="C61" s="1" t="s">
        <v>515</v>
      </c>
      <c r="D61" s="1" t="s">
        <v>516</v>
      </c>
      <c r="E61" s="3">
        <v>6</v>
      </c>
      <c r="F61" s="3">
        <v>20</v>
      </c>
      <c r="G61" s="3">
        <v>120</v>
      </c>
      <c r="H61" s="1" t="s">
        <v>517</v>
      </c>
    </row>
    <row r="62" spans="1:8" ht="27.6" thickBot="1" x14ac:dyDescent="0.35">
      <c r="A62" s="1" t="s">
        <v>61</v>
      </c>
      <c r="B62" s="2">
        <v>45718</v>
      </c>
      <c r="C62" s="1" t="s">
        <v>518</v>
      </c>
      <c r="D62" s="1" t="s">
        <v>519</v>
      </c>
      <c r="E62" s="3">
        <v>28</v>
      </c>
      <c r="F62" s="3">
        <v>2.5</v>
      </c>
      <c r="G62" s="3">
        <v>70</v>
      </c>
      <c r="H62" s="1" t="s">
        <v>510</v>
      </c>
    </row>
    <row r="63" spans="1:8" ht="15" thickBot="1" x14ac:dyDescent="0.35">
      <c r="A63" s="1" t="s">
        <v>62</v>
      </c>
      <c r="B63" s="2">
        <v>45719</v>
      </c>
      <c r="C63" s="1" t="s">
        <v>520</v>
      </c>
      <c r="D63" s="1" t="s">
        <v>516</v>
      </c>
      <c r="E63" s="3">
        <v>7</v>
      </c>
      <c r="F63" s="3">
        <v>18</v>
      </c>
      <c r="G63" s="3">
        <v>126</v>
      </c>
      <c r="H63" s="1" t="s">
        <v>512</v>
      </c>
    </row>
    <row r="64" spans="1:8" ht="15" thickBot="1" x14ac:dyDescent="0.35">
      <c r="A64" s="1" t="s">
        <v>63</v>
      </c>
      <c r="B64" s="2">
        <v>45720</v>
      </c>
      <c r="C64" s="1" t="s">
        <v>521</v>
      </c>
      <c r="D64" s="1" t="s">
        <v>519</v>
      </c>
      <c r="E64" s="3">
        <v>45</v>
      </c>
      <c r="F64" s="3">
        <v>1</v>
      </c>
      <c r="G64" s="3">
        <v>45</v>
      </c>
      <c r="H64" s="1" t="s">
        <v>514</v>
      </c>
    </row>
    <row r="65" spans="1:8" ht="15" thickBot="1" x14ac:dyDescent="0.35">
      <c r="A65" s="1" t="s">
        <v>64</v>
      </c>
      <c r="B65" s="2">
        <v>45721</v>
      </c>
      <c r="C65" s="1" t="s">
        <v>522</v>
      </c>
      <c r="D65" s="1" t="s">
        <v>523</v>
      </c>
      <c r="E65" s="3">
        <v>11</v>
      </c>
      <c r="F65" s="3">
        <v>6</v>
      </c>
      <c r="G65" s="3">
        <v>66</v>
      </c>
      <c r="H65" s="1" t="s">
        <v>517</v>
      </c>
    </row>
    <row r="66" spans="1:8" ht="15" thickBot="1" x14ac:dyDescent="0.35">
      <c r="A66" s="1" t="s">
        <v>65</v>
      </c>
      <c r="B66" s="2">
        <v>45722</v>
      </c>
      <c r="C66" s="1" t="s">
        <v>508</v>
      </c>
      <c r="D66" s="1" t="s">
        <v>509</v>
      </c>
      <c r="E66" s="3">
        <v>13</v>
      </c>
      <c r="F66" s="3">
        <v>5</v>
      </c>
      <c r="G66" s="3">
        <v>65</v>
      </c>
      <c r="H66" s="1" t="s">
        <v>510</v>
      </c>
    </row>
    <row r="67" spans="1:8" ht="15" thickBot="1" x14ac:dyDescent="0.35">
      <c r="A67" s="1" t="s">
        <v>66</v>
      </c>
      <c r="B67" s="2">
        <v>45723</v>
      </c>
      <c r="C67" s="1" t="s">
        <v>511</v>
      </c>
      <c r="D67" s="1" t="s">
        <v>509</v>
      </c>
      <c r="E67" s="3">
        <v>19</v>
      </c>
      <c r="F67" s="3">
        <v>4</v>
      </c>
      <c r="G67" s="3">
        <v>76</v>
      </c>
      <c r="H67" s="1" t="s">
        <v>512</v>
      </c>
    </row>
    <row r="68" spans="1:8" ht="27.6" thickBot="1" x14ac:dyDescent="0.35">
      <c r="A68" s="1" t="s">
        <v>67</v>
      </c>
      <c r="B68" s="2">
        <v>45724</v>
      </c>
      <c r="C68" s="1" t="s">
        <v>513</v>
      </c>
      <c r="D68" s="1" t="s">
        <v>509</v>
      </c>
      <c r="E68" s="3">
        <v>11</v>
      </c>
      <c r="F68" s="3">
        <v>5.5</v>
      </c>
      <c r="G68" s="3">
        <v>60.5</v>
      </c>
      <c r="H68" s="1" t="s">
        <v>514</v>
      </c>
    </row>
    <row r="69" spans="1:8" ht="15" thickBot="1" x14ac:dyDescent="0.35">
      <c r="A69" s="1" t="s">
        <v>68</v>
      </c>
      <c r="B69" s="2">
        <v>45725</v>
      </c>
      <c r="C69" s="1" t="s">
        <v>515</v>
      </c>
      <c r="D69" s="1" t="s">
        <v>516</v>
      </c>
      <c r="E69" s="3">
        <v>8</v>
      </c>
      <c r="F69" s="3">
        <v>20</v>
      </c>
      <c r="G69" s="3">
        <v>160</v>
      </c>
      <c r="H69" s="1" t="s">
        <v>517</v>
      </c>
    </row>
    <row r="70" spans="1:8" ht="27.6" thickBot="1" x14ac:dyDescent="0.35">
      <c r="A70" s="1" t="s">
        <v>69</v>
      </c>
      <c r="B70" s="2">
        <v>45726</v>
      </c>
      <c r="C70" s="1" t="s">
        <v>518</v>
      </c>
      <c r="D70" s="1" t="s">
        <v>519</v>
      </c>
      <c r="E70" s="3">
        <v>32</v>
      </c>
      <c r="F70" s="3">
        <v>2.5</v>
      </c>
      <c r="G70" s="3">
        <v>80</v>
      </c>
      <c r="H70" s="1" t="s">
        <v>510</v>
      </c>
    </row>
    <row r="71" spans="1:8" ht="15" thickBot="1" x14ac:dyDescent="0.35">
      <c r="A71" s="1" t="s">
        <v>70</v>
      </c>
      <c r="B71" s="2">
        <v>45727</v>
      </c>
      <c r="C71" s="1" t="s">
        <v>520</v>
      </c>
      <c r="D71" s="1" t="s">
        <v>516</v>
      </c>
      <c r="E71" s="3">
        <v>10</v>
      </c>
      <c r="F71" s="3">
        <v>18</v>
      </c>
      <c r="G71" s="3">
        <v>180</v>
      </c>
      <c r="H71" s="1" t="s">
        <v>512</v>
      </c>
    </row>
    <row r="72" spans="1:8" ht="15" thickBot="1" x14ac:dyDescent="0.35">
      <c r="A72" s="1" t="s">
        <v>71</v>
      </c>
      <c r="B72" s="2">
        <v>45728</v>
      </c>
      <c r="C72" s="1" t="s">
        <v>521</v>
      </c>
      <c r="D72" s="1" t="s">
        <v>519</v>
      </c>
      <c r="E72" s="3">
        <v>75</v>
      </c>
      <c r="F72" s="3">
        <v>1</v>
      </c>
      <c r="G72" s="3">
        <v>75</v>
      </c>
      <c r="H72" s="1" t="s">
        <v>514</v>
      </c>
    </row>
    <row r="73" spans="1:8" ht="15" thickBot="1" x14ac:dyDescent="0.35">
      <c r="A73" s="1" t="s">
        <v>72</v>
      </c>
      <c r="B73" s="2">
        <v>45729</v>
      </c>
      <c r="C73" s="1" t="s">
        <v>522</v>
      </c>
      <c r="D73" s="1" t="s">
        <v>523</v>
      </c>
      <c r="E73" s="3">
        <v>14</v>
      </c>
      <c r="F73" s="3">
        <v>6</v>
      </c>
      <c r="G73" s="3">
        <v>84</v>
      </c>
      <c r="H73" s="1" t="s">
        <v>517</v>
      </c>
    </row>
    <row r="74" spans="1:8" ht="15" thickBot="1" x14ac:dyDescent="0.35">
      <c r="A74" s="1" t="s">
        <v>73</v>
      </c>
      <c r="B74" s="2">
        <v>45730</v>
      </c>
      <c r="C74" s="1" t="s">
        <v>508</v>
      </c>
      <c r="D74" s="1" t="s">
        <v>509</v>
      </c>
      <c r="E74" s="3">
        <v>15</v>
      </c>
      <c r="F74" s="3">
        <v>5</v>
      </c>
      <c r="G74" s="3">
        <v>75</v>
      </c>
      <c r="H74" s="1" t="s">
        <v>510</v>
      </c>
    </row>
    <row r="75" spans="1:8" ht="15" thickBot="1" x14ac:dyDescent="0.35">
      <c r="A75" s="1" t="s">
        <v>74</v>
      </c>
      <c r="B75" s="2">
        <v>45731</v>
      </c>
      <c r="C75" s="1" t="s">
        <v>511</v>
      </c>
      <c r="D75" s="1" t="s">
        <v>509</v>
      </c>
      <c r="E75" s="3">
        <v>24</v>
      </c>
      <c r="F75" s="3">
        <v>4</v>
      </c>
      <c r="G75" s="3">
        <v>96</v>
      </c>
      <c r="H75" s="1" t="s">
        <v>512</v>
      </c>
    </row>
    <row r="76" spans="1:8" ht="27.6" thickBot="1" x14ac:dyDescent="0.35">
      <c r="A76" s="1" t="s">
        <v>75</v>
      </c>
      <c r="B76" s="2">
        <v>45732</v>
      </c>
      <c r="C76" s="1" t="s">
        <v>513</v>
      </c>
      <c r="D76" s="1" t="s">
        <v>509</v>
      </c>
      <c r="E76" s="3">
        <v>13</v>
      </c>
      <c r="F76" s="3">
        <v>5.5</v>
      </c>
      <c r="G76" s="3">
        <v>71.5</v>
      </c>
      <c r="H76" s="1" t="s">
        <v>514</v>
      </c>
    </row>
    <row r="77" spans="1:8" ht="15" thickBot="1" x14ac:dyDescent="0.35">
      <c r="A77" s="1" t="s">
        <v>76</v>
      </c>
      <c r="B77" s="2">
        <v>45733</v>
      </c>
      <c r="C77" s="1" t="s">
        <v>515</v>
      </c>
      <c r="D77" s="1" t="s">
        <v>516</v>
      </c>
      <c r="E77" s="3">
        <v>5</v>
      </c>
      <c r="F77" s="3">
        <v>20</v>
      </c>
      <c r="G77" s="3">
        <v>100</v>
      </c>
      <c r="H77" s="1" t="s">
        <v>517</v>
      </c>
    </row>
    <row r="78" spans="1:8" ht="27.6" thickBot="1" x14ac:dyDescent="0.35">
      <c r="A78" s="1" t="s">
        <v>77</v>
      </c>
      <c r="B78" s="2">
        <v>45734</v>
      </c>
      <c r="C78" s="1" t="s">
        <v>518</v>
      </c>
      <c r="D78" s="1" t="s">
        <v>519</v>
      </c>
      <c r="E78" s="3">
        <v>18</v>
      </c>
      <c r="F78" s="3">
        <v>2.5</v>
      </c>
      <c r="G78" s="3">
        <v>45</v>
      </c>
      <c r="H78" s="1" t="s">
        <v>510</v>
      </c>
    </row>
    <row r="79" spans="1:8" ht="15" thickBot="1" x14ac:dyDescent="0.35">
      <c r="A79" s="1" t="s">
        <v>78</v>
      </c>
      <c r="B79" s="2">
        <v>45735</v>
      </c>
      <c r="C79" s="1" t="s">
        <v>520</v>
      </c>
      <c r="D79" s="1" t="s">
        <v>516</v>
      </c>
      <c r="E79" s="3">
        <v>6</v>
      </c>
      <c r="F79" s="3">
        <v>18</v>
      </c>
      <c r="G79" s="3">
        <v>108</v>
      </c>
      <c r="H79" s="1" t="s">
        <v>512</v>
      </c>
    </row>
    <row r="80" spans="1:8" ht="15" thickBot="1" x14ac:dyDescent="0.35">
      <c r="A80" s="1" t="s">
        <v>79</v>
      </c>
      <c r="B80" s="2">
        <v>45736</v>
      </c>
      <c r="C80" s="1" t="s">
        <v>521</v>
      </c>
      <c r="D80" s="1" t="s">
        <v>519</v>
      </c>
      <c r="E80" s="3">
        <v>55</v>
      </c>
      <c r="F80" s="3">
        <v>1</v>
      </c>
      <c r="G80" s="3">
        <v>55</v>
      </c>
      <c r="H80" s="1" t="s">
        <v>514</v>
      </c>
    </row>
    <row r="81" spans="1:8" ht="15" thickBot="1" x14ac:dyDescent="0.35">
      <c r="A81" s="1" t="s">
        <v>80</v>
      </c>
      <c r="B81" s="2">
        <v>45737</v>
      </c>
      <c r="C81" s="1" t="s">
        <v>522</v>
      </c>
      <c r="D81" s="1" t="s">
        <v>523</v>
      </c>
      <c r="E81" s="3">
        <v>9</v>
      </c>
      <c r="F81" s="3">
        <v>6</v>
      </c>
      <c r="G81" s="3">
        <v>54</v>
      </c>
      <c r="H81" s="1" t="s">
        <v>517</v>
      </c>
    </row>
    <row r="82" spans="1:8" ht="15" thickBot="1" x14ac:dyDescent="0.35">
      <c r="A82" s="1" t="s">
        <v>81</v>
      </c>
      <c r="B82" s="2">
        <v>45738</v>
      </c>
      <c r="C82" s="1" t="s">
        <v>508</v>
      </c>
      <c r="D82" s="1" t="s">
        <v>509</v>
      </c>
      <c r="E82" s="3">
        <v>17</v>
      </c>
      <c r="F82" s="3">
        <v>5</v>
      </c>
      <c r="G82" s="3">
        <v>85</v>
      </c>
      <c r="H82" s="1" t="s">
        <v>510</v>
      </c>
    </row>
    <row r="83" spans="1:8" ht="15" thickBot="1" x14ac:dyDescent="0.35">
      <c r="A83" s="1" t="s">
        <v>82</v>
      </c>
      <c r="B83" s="2">
        <v>45739</v>
      </c>
      <c r="C83" s="1" t="s">
        <v>511</v>
      </c>
      <c r="D83" s="1" t="s">
        <v>509</v>
      </c>
      <c r="E83" s="3">
        <v>26</v>
      </c>
      <c r="F83" s="3">
        <v>4</v>
      </c>
      <c r="G83" s="3">
        <v>104</v>
      </c>
      <c r="H83" s="1" t="s">
        <v>512</v>
      </c>
    </row>
    <row r="84" spans="1:8" ht="27.6" thickBot="1" x14ac:dyDescent="0.35">
      <c r="A84" s="1" t="s">
        <v>83</v>
      </c>
      <c r="B84" s="2">
        <v>45740</v>
      </c>
      <c r="C84" s="1" t="s">
        <v>513</v>
      </c>
      <c r="D84" s="1" t="s">
        <v>509</v>
      </c>
      <c r="E84" s="3">
        <v>16</v>
      </c>
      <c r="F84" s="3">
        <v>5.5</v>
      </c>
      <c r="G84" s="3">
        <v>88</v>
      </c>
      <c r="H84" s="1" t="s">
        <v>514</v>
      </c>
    </row>
    <row r="85" spans="1:8" ht="15" thickBot="1" x14ac:dyDescent="0.35">
      <c r="A85" s="1" t="s">
        <v>84</v>
      </c>
      <c r="B85" s="2">
        <v>45741</v>
      </c>
      <c r="C85" s="1" t="s">
        <v>515</v>
      </c>
      <c r="D85" s="1" t="s">
        <v>516</v>
      </c>
      <c r="E85" s="3">
        <v>11</v>
      </c>
      <c r="F85" s="3">
        <v>20</v>
      </c>
      <c r="G85" s="3">
        <v>220</v>
      </c>
      <c r="H85" s="1" t="s">
        <v>517</v>
      </c>
    </row>
    <row r="86" spans="1:8" ht="27.6" thickBot="1" x14ac:dyDescent="0.35">
      <c r="A86" s="1" t="s">
        <v>85</v>
      </c>
      <c r="B86" s="2">
        <v>45742</v>
      </c>
      <c r="C86" s="1" t="s">
        <v>518</v>
      </c>
      <c r="D86" s="1" t="s">
        <v>519</v>
      </c>
      <c r="E86" s="3">
        <v>45</v>
      </c>
      <c r="F86" s="3">
        <v>2.5</v>
      </c>
      <c r="G86" s="3">
        <v>112.5</v>
      </c>
      <c r="H86" s="1" t="s">
        <v>510</v>
      </c>
    </row>
    <row r="87" spans="1:8" ht="15" thickBot="1" x14ac:dyDescent="0.35">
      <c r="A87" s="1" t="s">
        <v>86</v>
      </c>
      <c r="B87" s="2">
        <v>45743</v>
      </c>
      <c r="C87" s="1" t="s">
        <v>520</v>
      </c>
      <c r="D87" s="1" t="s">
        <v>516</v>
      </c>
      <c r="E87" s="3">
        <v>14</v>
      </c>
      <c r="F87" s="3">
        <v>18</v>
      </c>
      <c r="G87" s="3">
        <v>252</v>
      </c>
      <c r="H87" s="1" t="s">
        <v>512</v>
      </c>
    </row>
    <row r="88" spans="1:8" ht="15" thickBot="1" x14ac:dyDescent="0.35">
      <c r="A88" s="1" t="s">
        <v>87</v>
      </c>
      <c r="B88" s="2">
        <v>45744</v>
      </c>
      <c r="C88" s="1" t="s">
        <v>521</v>
      </c>
      <c r="D88" s="1" t="s">
        <v>519</v>
      </c>
      <c r="E88" s="3">
        <v>95</v>
      </c>
      <c r="F88" s="3">
        <v>1</v>
      </c>
      <c r="G88" s="3">
        <v>95</v>
      </c>
      <c r="H88" s="1" t="s">
        <v>514</v>
      </c>
    </row>
    <row r="89" spans="1:8" ht="15" thickBot="1" x14ac:dyDescent="0.35">
      <c r="A89" s="1" t="s">
        <v>88</v>
      </c>
      <c r="B89" s="2">
        <v>45745</v>
      </c>
      <c r="C89" s="1" t="s">
        <v>522</v>
      </c>
      <c r="D89" s="1" t="s">
        <v>523</v>
      </c>
      <c r="E89" s="3">
        <v>18</v>
      </c>
      <c r="F89" s="3">
        <v>6</v>
      </c>
      <c r="G89" s="3">
        <v>108</v>
      </c>
      <c r="H89" s="1" t="s">
        <v>517</v>
      </c>
    </row>
    <row r="90" spans="1:8" ht="15" thickBot="1" x14ac:dyDescent="0.35">
      <c r="A90" s="1" t="s">
        <v>89</v>
      </c>
      <c r="B90" s="2">
        <v>45746</v>
      </c>
      <c r="C90" s="1" t="s">
        <v>508</v>
      </c>
      <c r="D90" s="1" t="s">
        <v>509</v>
      </c>
      <c r="E90" s="3">
        <v>7</v>
      </c>
      <c r="F90" s="3">
        <v>5</v>
      </c>
      <c r="G90" s="3">
        <v>35</v>
      </c>
      <c r="H90" s="1" t="s">
        <v>510</v>
      </c>
    </row>
    <row r="91" spans="1:8" ht="15" thickBot="1" x14ac:dyDescent="0.35">
      <c r="A91" s="1" t="s">
        <v>90</v>
      </c>
      <c r="B91" s="2">
        <v>45747</v>
      </c>
      <c r="C91" s="1" t="s">
        <v>511</v>
      </c>
      <c r="D91" s="1" t="s">
        <v>509</v>
      </c>
      <c r="E91" s="3">
        <v>14</v>
      </c>
      <c r="F91" s="3">
        <v>4</v>
      </c>
      <c r="G91" s="3">
        <v>56</v>
      </c>
      <c r="H91" s="1" t="s">
        <v>512</v>
      </c>
    </row>
    <row r="92" spans="1:8" ht="27.6" thickBot="1" x14ac:dyDescent="0.35">
      <c r="A92" s="1" t="s">
        <v>91</v>
      </c>
      <c r="B92" s="2">
        <v>45748</v>
      </c>
      <c r="C92" s="1" t="s">
        <v>513</v>
      </c>
      <c r="D92" s="1" t="s">
        <v>509</v>
      </c>
      <c r="E92" s="3">
        <v>5</v>
      </c>
      <c r="F92" s="3">
        <v>5.5</v>
      </c>
      <c r="G92" s="3">
        <v>27.5</v>
      </c>
      <c r="H92" s="1" t="s">
        <v>514</v>
      </c>
    </row>
    <row r="93" spans="1:8" ht="15" thickBot="1" x14ac:dyDescent="0.35">
      <c r="A93" s="1" t="s">
        <v>92</v>
      </c>
      <c r="B93" s="2">
        <v>45749</v>
      </c>
      <c r="C93" s="1" t="s">
        <v>515</v>
      </c>
      <c r="D93" s="1" t="s">
        <v>516</v>
      </c>
      <c r="E93" s="3">
        <v>2</v>
      </c>
      <c r="F93" s="3">
        <v>20</v>
      </c>
      <c r="G93" s="3">
        <v>40</v>
      </c>
      <c r="H93" s="1" t="s">
        <v>517</v>
      </c>
    </row>
    <row r="94" spans="1:8" ht="27.6" thickBot="1" x14ac:dyDescent="0.35">
      <c r="A94" s="1" t="s">
        <v>93</v>
      </c>
      <c r="B94" s="2">
        <v>45750</v>
      </c>
      <c r="C94" s="1" t="s">
        <v>518</v>
      </c>
      <c r="D94" s="1" t="s">
        <v>519</v>
      </c>
      <c r="E94" s="3">
        <v>22</v>
      </c>
      <c r="F94" s="3">
        <v>2.5</v>
      </c>
      <c r="G94" s="3">
        <v>55</v>
      </c>
      <c r="H94" s="1" t="s">
        <v>510</v>
      </c>
    </row>
    <row r="95" spans="1:8" ht="15" thickBot="1" x14ac:dyDescent="0.35">
      <c r="A95" s="1" t="s">
        <v>94</v>
      </c>
      <c r="B95" s="2">
        <v>45751</v>
      </c>
      <c r="C95" s="1" t="s">
        <v>520</v>
      </c>
      <c r="D95" s="1" t="s">
        <v>516</v>
      </c>
      <c r="E95" s="3">
        <v>5</v>
      </c>
      <c r="F95" s="3">
        <v>18</v>
      </c>
      <c r="G95" s="3">
        <v>90</v>
      </c>
      <c r="H95" s="1" t="s">
        <v>512</v>
      </c>
    </row>
    <row r="96" spans="1:8" ht="15" thickBot="1" x14ac:dyDescent="0.35">
      <c r="A96" s="1" t="s">
        <v>95</v>
      </c>
      <c r="B96" s="2">
        <v>45752</v>
      </c>
      <c r="C96" s="1" t="s">
        <v>521</v>
      </c>
      <c r="D96" s="1" t="s">
        <v>519</v>
      </c>
      <c r="E96" s="3">
        <v>35</v>
      </c>
      <c r="F96" s="3">
        <v>1</v>
      </c>
      <c r="G96" s="3">
        <v>35</v>
      </c>
      <c r="H96" s="1" t="s">
        <v>514</v>
      </c>
    </row>
    <row r="97" spans="1:8" ht="15" thickBot="1" x14ac:dyDescent="0.35">
      <c r="A97" s="1" t="s">
        <v>96</v>
      </c>
      <c r="B97" s="2">
        <v>45753</v>
      </c>
      <c r="C97" s="1" t="s">
        <v>522</v>
      </c>
      <c r="D97" s="1" t="s">
        <v>523</v>
      </c>
      <c r="E97" s="3">
        <v>8</v>
      </c>
      <c r="F97" s="3">
        <v>6</v>
      </c>
      <c r="G97" s="3">
        <v>48</v>
      </c>
      <c r="H97" s="1" t="s">
        <v>517</v>
      </c>
    </row>
    <row r="98" spans="1:8" ht="15" thickBot="1" x14ac:dyDescent="0.35">
      <c r="A98" s="1" t="s">
        <v>97</v>
      </c>
      <c r="B98" s="2">
        <v>45754</v>
      </c>
      <c r="C98" s="1" t="s">
        <v>508</v>
      </c>
      <c r="D98" s="1" t="s">
        <v>509</v>
      </c>
      <c r="E98" s="3">
        <v>10</v>
      </c>
      <c r="F98" s="3">
        <v>5</v>
      </c>
      <c r="G98" s="3">
        <v>50</v>
      </c>
      <c r="H98" s="1" t="s">
        <v>510</v>
      </c>
    </row>
    <row r="99" spans="1:8" ht="15" thickBot="1" x14ac:dyDescent="0.35">
      <c r="A99" s="1" t="s">
        <v>98</v>
      </c>
      <c r="B99" s="2">
        <v>45755</v>
      </c>
      <c r="C99" s="1" t="s">
        <v>511</v>
      </c>
      <c r="D99" s="1" t="s">
        <v>509</v>
      </c>
      <c r="E99" s="3">
        <v>15</v>
      </c>
      <c r="F99" s="3">
        <v>4</v>
      </c>
      <c r="G99" s="3">
        <v>60</v>
      </c>
      <c r="H99" s="1" t="s">
        <v>512</v>
      </c>
    </row>
    <row r="100" spans="1:8" ht="27.6" thickBot="1" x14ac:dyDescent="0.35">
      <c r="A100" s="1" t="s">
        <v>99</v>
      </c>
      <c r="B100" s="2">
        <v>45756</v>
      </c>
      <c r="C100" s="1" t="s">
        <v>513</v>
      </c>
      <c r="D100" s="1" t="s">
        <v>509</v>
      </c>
      <c r="E100" s="3">
        <v>10</v>
      </c>
      <c r="F100" s="3">
        <v>5.5</v>
      </c>
      <c r="G100" s="3">
        <v>55</v>
      </c>
      <c r="H100" s="1" t="s">
        <v>514</v>
      </c>
    </row>
    <row r="101" spans="1:8" ht="15" thickBot="1" x14ac:dyDescent="0.35">
      <c r="A101" s="1" t="s">
        <v>100</v>
      </c>
      <c r="B101" s="2">
        <v>45757</v>
      </c>
      <c r="C101" s="1" t="s">
        <v>515</v>
      </c>
      <c r="D101" s="1" t="s">
        <v>516</v>
      </c>
      <c r="E101" s="3">
        <v>8</v>
      </c>
      <c r="F101" s="3">
        <v>20</v>
      </c>
      <c r="G101" s="3">
        <v>160</v>
      </c>
      <c r="H101" s="1" t="s">
        <v>517</v>
      </c>
    </row>
    <row r="102" spans="1:8" ht="27.6" thickBot="1" x14ac:dyDescent="0.35">
      <c r="A102" s="1" t="s">
        <v>101</v>
      </c>
      <c r="B102" s="2">
        <v>45758</v>
      </c>
      <c r="C102" s="1" t="s">
        <v>518</v>
      </c>
      <c r="D102" s="1" t="s">
        <v>519</v>
      </c>
      <c r="E102" s="3">
        <v>30</v>
      </c>
      <c r="F102" s="3">
        <v>2.5</v>
      </c>
      <c r="G102" s="3">
        <v>75</v>
      </c>
      <c r="H102" s="1" t="s">
        <v>510</v>
      </c>
    </row>
    <row r="103" spans="1:8" ht="15" thickBot="1" x14ac:dyDescent="0.35">
      <c r="A103" s="1" t="s">
        <v>102</v>
      </c>
      <c r="B103" s="2">
        <v>45759</v>
      </c>
      <c r="C103" s="1" t="s">
        <v>520</v>
      </c>
      <c r="D103" s="1" t="s">
        <v>516</v>
      </c>
      <c r="E103" s="3">
        <v>9</v>
      </c>
      <c r="F103" s="3">
        <v>18</v>
      </c>
      <c r="G103" s="3">
        <v>162</v>
      </c>
      <c r="H103" s="1" t="s">
        <v>512</v>
      </c>
    </row>
    <row r="104" spans="1:8" ht="15" thickBot="1" x14ac:dyDescent="0.35">
      <c r="A104" s="1" t="s">
        <v>103</v>
      </c>
      <c r="B104" s="2">
        <v>45760</v>
      </c>
      <c r="C104" s="1" t="s">
        <v>521</v>
      </c>
      <c r="D104" s="1" t="s">
        <v>519</v>
      </c>
      <c r="E104" s="3">
        <v>65</v>
      </c>
      <c r="F104" s="3">
        <v>1</v>
      </c>
      <c r="G104" s="3">
        <v>65</v>
      </c>
      <c r="H104" s="1" t="s">
        <v>514</v>
      </c>
    </row>
    <row r="105" spans="1:8" ht="15" thickBot="1" x14ac:dyDescent="0.35">
      <c r="A105" s="1" t="s">
        <v>104</v>
      </c>
      <c r="B105" s="2">
        <v>45761</v>
      </c>
      <c r="C105" s="1" t="s">
        <v>522</v>
      </c>
      <c r="D105" s="1" t="s">
        <v>523</v>
      </c>
      <c r="E105" s="3">
        <v>12</v>
      </c>
      <c r="F105" s="3">
        <v>6</v>
      </c>
      <c r="G105" s="3">
        <v>72</v>
      </c>
      <c r="H105" s="1" t="s">
        <v>517</v>
      </c>
    </row>
    <row r="106" spans="1:8" ht="15" thickBot="1" x14ac:dyDescent="0.35">
      <c r="A106" s="1" t="s">
        <v>105</v>
      </c>
      <c r="B106" s="2">
        <v>45762</v>
      </c>
      <c r="C106" s="1" t="s">
        <v>508</v>
      </c>
      <c r="D106" s="1" t="s">
        <v>509</v>
      </c>
      <c r="E106" s="3">
        <v>12</v>
      </c>
      <c r="F106" s="3">
        <v>5</v>
      </c>
      <c r="G106" s="3">
        <v>60</v>
      </c>
      <c r="H106" s="1" t="s">
        <v>510</v>
      </c>
    </row>
    <row r="107" spans="1:8" ht="15" thickBot="1" x14ac:dyDescent="0.35">
      <c r="A107" s="1" t="s">
        <v>106</v>
      </c>
      <c r="B107" s="2">
        <v>45763</v>
      </c>
      <c r="C107" s="1" t="s">
        <v>511</v>
      </c>
      <c r="D107" s="1" t="s">
        <v>509</v>
      </c>
      <c r="E107" s="3">
        <v>21</v>
      </c>
      <c r="F107" s="3">
        <v>4</v>
      </c>
      <c r="G107" s="3">
        <v>84</v>
      </c>
      <c r="H107" s="1" t="s">
        <v>512</v>
      </c>
    </row>
    <row r="108" spans="1:8" ht="27.6" thickBot="1" x14ac:dyDescent="0.35">
      <c r="A108" s="1" t="s">
        <v>107</v>
      </c>
      <c r="B108" s="2">
        <v>45764</v>
      </c>
      <c r="C108" s="1" t="s">
        <v>513</v>
      </c>
      <c r="D108" s="1" t="s">
        <v>509</v>
      </c>
      <c r="E108" s="3">
        <v>14</v>
      </c>
      <c r="F108" s="3">
        <v>5.5</v>
      </c>
      <c r="G108" s="3">
        <v>77</v>
      </c>
      <c r="H108" s="1" t="s">
        <v>514</v>
      </c>
    </row>
    <row r="109" spans="1:8" ht="15" thickBot="1" x14ac:dyDescent="0.35">
      <c r="A109" s="1" t="s">
        <v>108</v>
      </c>
      <c r="B109" s="2">
        <v>45765</v>
      </c>
      <c r="C109" s="1" t="s">
        <v>515</v>
      </c>
      <c r="D109" s="1" t="s">
        <v>516</v>
      </c>
      <c r="E109" s="3">
        <v>6</v>
      </c>
      <c r="F109" s="3">
        <v>20</v>
      </c>
      <c r="G109" s="3">
        <v>120</v>
      </c>
      <c r="H109" s="1" t="s">
        <v>517</v>
      </c>
    </row>
    <row r="110" spans="1:8" ht="27.6" thickBot="1" x14ac:dyDescent="0.35">
      <c r="A110" s="1" t="s">
        <v>109</v>
      </c>
      <c r="B110" s="2">
        <v>45766</v>
      </c>
      <c r="C110" s="1" t="s">
        <v>518</v>
      </c>
      <c r="D110" s="1" t="s">
        <v>519</v>
      </c>
      <c r="E110" s="3">
        <v>25</v>
      </c>
      <c r="F110" s="3">
        <v>2.5</v>
      </c>
      <c r="G110" s="3">
        <v>62.5</v>
      </c>
      <c r="H110" s="1" t="s">
        <v>510</v>
      </c>
    </row>
    <row r="111" spans="1:8" ht="15" thickBot="1" x14ac:dyDescent="0.35">
      <c r="A111" s="1" t="s">
        <v>110</v>
      </c>
      <c r="B111" s="2">
        <v>45767</v>
      </c>
      <c r="C111" s="1" t="s">
        <v>520</v>
      </c>
      <c r="D111" s="1" t="s">
        <v>516</v>
      </c>
      <c r="E111" s="3">
        <v>8</v>
      </c>
      <c r="F111" s="3">
        <v>18</v>
      </c>
      <c r="G111" s="3">
        <v>144</v>
      </c>
      <c r="H111" s="1" t="s">
        <v>512</v>
      </c>
    </row>
    <row r="112" spans="1:8" ht="15" thickBot="1" x14ac:dyDescent="0.35">
      <c r="A112" s="1" t="s">
        <v>111</v>
      </c>
      <c r="B112" s="2">
        <v>45768</v>
      </c>
      <c r="C112" s="1" t="s">
        <v>521</v>
      </c>
      <c r="D112" s="1" t="s">
        <v>519</v>
      </c>
      <c r="E112" s="3">
        <v>85</v>
      </c>
      <c r="F112" s="3">
        <v>1</v>
      </c>
      <c r="G112" s="3">
        <v>85</v>
      </c>
      <c r="H112" s="1" t="s">
        <v>514</v>
      </c>
    </row>
    <row r="113" spans="1:8" ht="15" thickBot="1" x14ac:dyDescent="0.35">
      <c r="A113" s="1" t="s">
        <v>112</v>
      </c>
      <c r="B113" s="2">
        <v>45769</v>
      </c>
      <c r="C113" s="1" t="s">
        <v>522</v>
      </c>
      <c r="D113" s="1" t="s">
        <v>523</v>
      </c>
      <c r="E113" s="3">
        <v>16</v>
      </c>
      <c r="F113" s="3">
        <v>6</v>
      </c>
      <c r="G113" s="3">
        <v>96</v>
      </c>
      <c r="H113" s="1" t="s">
        <v>517</v>
      </c>
    </row>
    <row r="114" spans="1:8" ht="15" thickBot="1" x14ac:dyDescent="0.35">
      <c r="A114" s="1" t="s">
        <v>113</v>
      </c>
      <c r="B114" s="2">
        <v>45770</v>
      </c>
      <c r="C114" s="1" t="s">
        <v>508</v>
      </c>
      <c r="D114" s="1" t="s">
        <v>509</v>
      </c>
      <c r="E114" s="3">
        <v>9</v>
      </c>
      <c r="F114" s="3">
        <v>5</v>
      </c>
      <c r="G114" s="3">
        <v>45</v>
      </c>
      <c r="H114" s="1" t="s">
        <v>510</v>
      </c>
    </row>
    <row r="115" spans="1:8" ht="15" thickBot="1" x14ac:dyDescent="0.35">
      <c r="A115" s="1" t="s">
        <v>114</v>
      </c>
      <c r="B115" s="2">
        <v>45771</v>
      </c>
      <c r="C115" s="1" t="s">
        <v>511</v>
      </c>
      <c r="D115" s="1" t="s">
        <v>509</v>
      </c>
      <c r="E115" s="3">
        <v>17</v>
      </c>
      <c r="F115" s="3">
        <v>4</v>
      </c>
      <c r="G115" s="3">
        <v>68</v>
      </c>
      <c r="H115" s="1" t="s">
        <v>512</v>
      </c>
    </row>
    <row r="116" spans="1:8" ht="27.6" thickBot="1" x14ac:dyDescent="0.35">
      <c r="A116" s="1" t="s">
        <v>115</v>
      </c>
      <c r="B116" s="2">
        <v>45772</v>
      </c>
      <c r="C116" s="1" t="s">
        <v>513</v>
      </c>
      <c r="D116" s="1" t="s">
        <v>509</v>
      </c>
      <c r="E116" s="3">
        <v>7</v>
      </c>
      <c r="F116" s="3">
        <v>5.5</v>
      </c>
      <c r="G116" s="3">
        <v>38.5</v>
      </c>
      <c r="H116" s="1" t="s">
        <v>514</v>
      </c>
    </row>
    <row r="117" spans="1:8" ht="15" thickBot="1" x14ac:dyDescent="0.35">
      <c r="A117" s="1" t="s">
        <v>116</v>
      </c>
      <c r="B117" s="2">
        <v>45773</v>
      </c>
      <c r="C117" s="1" t="s">
        <v>515</v>
      </c>
      <c r="D117" s="1" t="s">
        <v>516</v>
      </c>
      <c r="E117" s="3">
        <v>4</v>
      </c>
      <c r="F117" s="3">
        <v>20</v>
      </c>
      <c r="G117" s="3">
        <v>80</v>
      </c>
      <c r="H117" s="1" t="s">
        <v>517</v>
      </c>
    </row>
    <row r="118" spans="1:8" ht="27.6" thickBot="1" x14ac:dyDescent="0.35">
      <c r="A118" s="1" t="s">
        <v>117</v>
      </c>
      <c r="B118" s="2">
        <v>45774</v>
      </c>
      <c r="C118" s="1" t="s">
        <v>518</v>
      </c>
      <c r="D118" s="1" t="s">
        <v>519</v>
      </c>
      <c r="E118" s="3">
        <v>20</v>
      </c>
      <c r="F118" s="3">
        <v>2.5</v>
      </c>
      <c r="G118" s="3">
        <v>50</v>
      </c>
      <c r="H118" s="1" t="s">
        <v>510</v>
      </c>
    </row>
    <row r="119" spans="1:8" ht="15" thickBot="1" x14ac:dyDescent="0.35">
      <c r="A119" s="1" t="s">
        <v>118</v>
      </c>
      <c r="B119" s="2">
        <v>45775</v>
      </c>
      <c r="C119" s="1" t="s">
        <v>520</v>
      </c>
      <c r="D119" s="1" t="s">
        <v>516</v>
      </c>
      <c r="E119" s="3">
        <v>5</v>
      </c>
      <c r="F119" s="3">
        <v>18</v>
      </c>
      <c r="G119" s="3">
        <v>90</v>
      </c>
      <c r="H119" s="1" t="s">
        <v>512</v>
      </c>
    </row>
    <row r="120" spans="1:8" ht="15" thickBot="1" x14ac:dyDescent="0.35">
      <c r="A120" s="1" t="s">
        <v>119</v>
      </c>
      <c r="B120" s="2">
        <v>45776</v>
      </c>
      <c r="C120" s="1" t="s">
        <v>521</v>
      </c>
      <c r="D120" s="1" t="s">
        <v>519</v>
      </c>
      <c r="E120" s="3">
        <v>45</v>
      </c>
      <c r="F120" s="3">
        <v>1</v>
      </c>
      <c r="G120" s="3">
        <v>45</v>
      </c>
      <c r="H120" s="1" t="s">
        <v>514</v>
      </c>
    </row>
    <row r="121" spans="1:8" ht="15" thickBot="1" x14ac:dyDescent="0.35">
      <c r="A121" s="1" t="s">
        <v>120</v>
      </c>
      <c r="B121" s="2">
        <v>45777</v>
      </c>
      <c r="C121" s="1" t="s">
        <v>522</v>
      </c>
      <c r="D121" s="1" t="s">
        <v>523</v>
      </c>
      <c r="E121" s="3">
        <v>10</v>
      </c>
      <c r="F121" s="3">
        <v>6</v>
      </c>
      <c r="G121" s="3">
        <v>60</v>
      </c>
      <c r="H121" s="1" t="s">
        <v>517</v>
      </c>
    </row>
    <row r="122" spans="1:8" ht="15" thickBot="1" x14ac:dyDescent="0.35">
      <c r="A122" s="1" t="s">
        <v>121</v>
      </c>
      <c r="B122" s="2">
        <v>45778</v>
      </c>
      <c r="C122" s="1" t="s">
        <v>508</v>
      </c>
      <c r="D122" s="1" t="s">
        <v>509</v>
      </c>
      <c r="E122" s="3">
        <v>18</v>
      </c>
      <c r="F122" s="3">
        <v>5</v>
      </c>
      <c r="G122" s="3">
        <v>90</v>
      </c>
      <c r="H122" s="1" t="s">
        <v>510</v>
      </c>
    </row>
    <row r="123" spans="1:8" ht="15" thickBot="1" x14ac:dyDescent="0.35">
      <c r="A123" s="1" t="s">
        <v>122</v>
      </c>
      <c r="B123" s="2">
        <v>45779</v>
      </c>
      <c r="C123" s="1" t="s">
        <v>511</v>
      </c>
      <c r="D123" s="1" t="s">
        <v>509</v>
      </c>
      <c r="E123" s="3">
        <v>25</v>
      </c>
      <c r="F123" s="3">
        <v>4</v>
      </c>
      <c r="G123" s="3">
        <v>100</v>
      </c>
      <c r="H123" s="1" t="s">
        <v>512</v>
      </c>
    </row>
    <row r="124" spans="1:8" ht="27.6" thickBot="1" x14ac:dyDescent="0.35">
      <c r="A124" s="1" t="s">
        <v>123</v>
      </c>
      <c r="B124" s="2">
        <v>45780</v>
      </c>
      <c r="C124" s="1" t="s">
        <v>513</v>
      </c>
      <c r="D124" s="1" t="s">
        <v>509</v>
      </c>
      <c r="E124" s="3">
        <v>15</v>
      </c>
      <c r="F124" s="3">
        <v>5.5</v>
      </c>
      <c r="G124" s="3">
        <v>82.5</v>
      </c>
      <c r="H124" s="1" t="s">
        <v>514</v>
      </c>
    </row>
    <row r="125" spans="1:8" ht="15" thickBot="1" x14ac:dyDescent="0.35">
      <c r="A125" s="1" t="s">
        <v>124</v>
      </c>
      <c r="B125" s="2">
        <v>45781</v>
      </c>
      <c r="C125" s="1" t="s">
        <v>515</v>
      </c>
      <c r="D125" s="1" t="s">
        <v>516</v>
      </c>
      <c r="E125" s="3">
        <v>10</v>
      </c>
      <c r="F125" s="3">
        <v>20</v>
      </c>
      <c r="G125" s="3">
        <v>200</v>
      </c>
      <c r="H125" s="1" t="s">
        <v>517</v>
      </c>
    </row>
    <row r="126" spans="1:8" ht="27.6" thickBot="1" x14ac:dyDescent="0.35">
      <c r="A126" s="1" t="s">
        <v>125</v>
      </c>
      <c r="B126" s="2">
        <v>45782</v>
      </c>
      <c r="C126" s="1" t="s">
        <v>518</v>
      </c>
      <c r="D126" s="1" t="s">
        <v>519</v>
      </c>
      <c r="E126" s="3">
        <v>40</v>
      </c>
      <c r="F126" s="3">
        <v>2.5</v>
      </c>
      <c r="G126" s="3">
        <v>100</v>
      </c>
      <c r="H126" s="1" t="s">
        <v>510</v>
      </c>
    </row>
    <row r="127" spans="1:8" ht="15" thickBot="1" x14ac:dyDescent="0.35">
      <c r="A127" s="1" t="s">
        <v>126</v>
      </c>
      <c r="B127" s="2">
        <v>45783</v>
      </c>
      <c r="C127" s="1" t="s">
        <v>520</v>
      </c>
      <c r="D127" s="1" t="s">
        <v>516</v>
      </c>
      <c r="E127" s="3">
        <v>12</v>
      </c>
      <c r="F127" s="3">
        <v>18</v>
      </c>
      <c r="G127" s="3">
        <v>216</v>
      </c>
      <c r="H127" s="1" t="s">
        <v>512</v>
      </c>
    </row>
    <row r="128" spans="1:8" ht="15" thickBot="1" x14ac:dyDescent="0.35">
      <c r="A128" s="1" t="s">
        <v>127</v>
      </c>
      <c r="B128" s="2">
        <v>45784</v>
      </c>
      <c r="C128" s="1" t="s">
        <v>521</v>
      </c>
      <c r="D128" s="1" t="s">
        <v>519</v>
      </c>
      <c r="E128" s="3">
        <v>100</v>
      </c>
      <c r="F128" s="3">
        <v>1</v>
      </c>
      <c r="G128" s="3">
        <v>100</v>
      </c>
      <c r="H128" s="1" t="s">
        <v>514</v>
      </c>
    </row>
    <row r="129" spans="1:8" ht="15" thickBot="1" x14ac:dyDescent="0.35">
      <c r="A129" s="1" t="s">
        <v>128</v>
      </c>
      <c r="B129" s="2">
        <v>45785</v>
      </c>
      <c r="C129" s="1" t="s">
        <v>522</v>
      </c>
      <c r="D129" s="1" t="s">
        <v>523</v>
      </c>
      <c r="E129" s="3">
        <v>20</v>
      </c>
      <c r="F129" s="3">
        <v>6</v>
      </c>
      <c r="G129" s="3">
        <v>120</v>
      </c>
      <c r="H129" s="1" t="s">
        <v>517</v>
      </c>
    </row>
    <row r="130" spans="1:8" ht="15" thickBot="1" x14ac:dyDescent="0.35">
      <c r="A130" s="1" t="s">
        <v>129</v>
      </c>
      <c r="B130" s="2">
        <v>45786</v>
      </c>
      <c r="C130" s="1" t="s">
        <v>508</v>
      </c>
      <c r="D130" s="1" t="s">
        <v>509</v>
      </c>
      <c r="E130" s="3">
        <v>6</v>
      </c>
      <c r="F130" s="3">
        <v>5</v>
      </c>
      <c r="G130" s="3">
        <v>30</v>
      </c>
      <c r="H130" s="1" t="s">
        <v>510</v>
      </c>
    </row>
    <row r="131" spans="1:8" ht="15" thickBot="1" x14ac:dyDescent="0.35">
      <c r="A131" s="1" t="s">
        <v>130</v>
      </c>
      <c r="B131" s="2">
        <v>45787</v>
      </c>
      <c r="C131" s="1" t="s">
        <v>511</v>
      </c>
      <c r="D131" s="1" t="s">
        <v>509</v>
      </c>
      <c r="E131" s="3">
        <v>13</v>
      </c>
      <c r="F131" s="3">
        <v>4</v>
      </c>
      <c r="G131" s="3">
        <v>52</v>
      </c>
      <c r="H131" s="1" t="s">
        <v>512</v>
      </c>
    </row>
    <row r="132" spans="1:8" ht="27.6" thickBot="1" x14ac:dyDescent="0.35">
      <c r="A132" s="1" t="s">
        <v>131</v>
      </c>
      <c r="B132" s="2">
        <v>45788</v>
      </c>
      <c r="C132" s="1" t="s">
        <v>513</v>
      </c>
      <c r="D132" s="1" t="s">
        <v>509</v>
      </c>
      <c r="E132" s="3">
        <v>8</v>
      </c>
      <c r="F132" s="3">
        <v>5.5</v>
      </c>
      <c r="G132" s="3">
        <v>44</v>
      </c>
      <c r="H132" s="1" t="s">
        <v>514</v>
      </c>
    </row>
    <row r="133" spans="1:8" ht="15" thickBot="1" x14ac:dyDescent="0.35">
      <c r="A133" s="1" t="s">
        <v>132</v>
      </c>
      <c r="B133" s="2">
        <v>45789</v>
      </c>
      <c r="C133" s="1" t="s">
        <v>515</v>
      </c>
      <c r="D133" s="1" t="s">
        <v>516</v>
      </c>
      <c r="E133" s="3">
        <v>3</v>
      </c>
      <c r="F133" s="3">
        <v>20</v>
      </c>
      <c r="G133" s="3">
        <v>60</v>
      </c>
      <c r="H133" s="1" t="s">
        <v>517</v>
      </c>
    </row>
    <row r="134" spans="1:8" ht="27.6" thickBot="1" x14ac:dyDescent="0.35">
      <c r="A134" s="1" t="s">
        <v>133</v>
      </c>
      <c r="B134" s="2">
        <v>45790</v>
      </c>
      <c r="C134" s="1" t="s">
        <v>518</v>
      </c>
      <c r="D134" s="1" t="s">
        <v>519</v>
      </c>
      <c r="E134" s="3">
        <v>15</v>
      </c>
      <c r="F134" s="3">
        <v>2.5</v>
      </c>
      <c r="G134" s="3">
        <v>37.5</v>
      </c>
      <c r="H134" s="1" t="s">
        <v>510</v>
      </c>
    </row>
    <row r="135" spans="1:8" ht="15" thickBot="1" x14ac:dyDescent="0.35">
      <c r="A135" s="1" t="s">
        <v>134</v>
      </c>
      <c r="B135" s="2">
        <v>45791</v>
      </c>
      <c r="C135" s="1" t="s">
        <v>520</v>
      </c>
      <c r="D135" s="1" t="s">
        <v>516</v>
      </c>
      <c r="E135" s="3">
        <v>6</v>
      </c>
      <c r="F135" s="3">
        <v>18</v>
      </c>
      <c r="G135" s="3">
        <v>108</v>
      </c>
      <c r="H135" s="1" t="s">
        <v>512</v>
      </c>
    </row>
    <row r="136" spans="1:8" ht="15" thickBot="1" x14ac:dyDescent="0.35">
      <c r="A136" s="1" t="s">
        <v>135</v>
      </c>
      <c r="B136" s="2">
        <v>45792</v>
      </c>
      <c r="C136" s="1" t="s">
        <v>521</v>
      </c>
      <c r="D136" s="1" t="s">
        <v>519</v>
      </c>
      <c r="E136" s="3">
        <v>30</v>
      </c>
      <c r="F136" s="3">
        <v>1</v>
      </c>
      <c r="G136" s="3">
        <v>30</v>
      </c>
      <c r="H136" s="1" t="s">
        <v>514</v>
      </c>
    </row>
    <row r="137" spans="1:8" ht="15" thickBot="1" x14ac:dyDescent="0.35">
      <c r="A137" s="1" t="s">
        <v>136</v>
      </c>
      <c r="B137" s="2">
        <v>45793</v>
      </c>
      <c r="C137" s="1" t="s">
        <v>522</v>
      </c>
      <c r="D137" s="1" t="s">
        <v>523</v>
      </c>
      <c r="E137" s="3">
        <v>7</v>
      </c>
      <c r="F137" s="3">
        <v>6</v>
      </c>
      <c r="G137" s="3">
        <v>42</v>
      </c>
      <c r="H137" s="1" t="s">
        <v>517</v>
      </c>
    </row>
    <row r="138" spans="1:8" ht="15" thickBot="1" x14ac:dyDescent="0.35">
      <c r="A138" s="1" t="s">
        <v>137</v>
      </c>
      <c r="B138" s="2">
        <v>45794</v>
      </c>
      <c r="C138" s="1" t="s">
        <v>508</v>
      </c>
      <c r="D138" s="1" t="s">
        <v>509</v>
      </c>
      <c r="E138" s="3">
        <v>11</v>
      </c>
      <c r="F138" s="3">
        <v>5</v>
      </c>
      <c r="G138" s="3">
        <v>55</v>
      </c>
      <c r="H138" s="1" t="s">
        <v>510</v>
      </c>
    </row>
    <row r="139" spans="1:8" ht="15" thickBot="1" x14ac:dyDescent="0.35">
      <c r="A139" s="1" t="s">
        <v>138</v>
      </c>
      <c r="B139" s="2">
        <v>45795</v>
      </c>
      <c r="C139" s="1" t="s">
        <v>511</v>
      </c>
      <c r="D139" s="1" t="s">
        <v>509</v>
      </c>
      <c r="E139" s="3">
        <v>16</v>
      </c>
      <c r="F139" s="3">
        <v>4</v>
      </c>
      <c r="G139" s="3">
        <v>64</v>
      </c>
      <c r="H139" s="1" t="s">
        <v>512</v>
      </c>
    </row>
    <row r="140" spans="1:8" ht="27.6" thickBot="1" x14ac:dyDescent="0.35">
      <c r="A140" s="1" t="s">
        <v>139</v>
      </c>
      <c r="B140" s="2">
        <v>45796</v>
      </c>
      <c r="C140" s="1" t="s">
        <v>513</v>
      </c>
      <c r="D140" s="1" t="s">
        <v>509</v>
      </c>
      <c r="E140" s="3">
        <v>9</v>
      </c>
      <c r="F140" s="3">
        <v>5.5</v>
      </c>
      <c r="G140" s="3">
        <v>49.5</v>
      </c>
      <c r="H140" s="1" t="s">
        <v>514</v>
      </c>
    </row>
    <row r="141" spans="1:8" ht="15" thickBot="1" x14ac:dyDescent="0.35">
      <c r="A141" s="1" t="s">
        <v>140</v>
      </c>
      <c r="B141" s="2">
        <v>45797</v>
      </c>
      <c r="C141" s="1" t="s">
        <v>515</v>
      </c>
      <c r="D141" s="1" t="s">
        <v>516</v>
      </c>
      <c r="E141" s="3">
        <v>5</v>
      </c>
      <c r="F141" s="3">
        <v>20</v>
      </c>
      <c r="G141" s="3">
        <v>100</v>
      </c>
      <c r="H141" s="1" t="s">
        <v>517</v>
      </c>
    </row>
    <row r="142" spans="1:8" ht="27.6" thickBot="1" x14ac:dyDescent="0.35">
      <c r="A142" s="1" t="s">
        <v>141</v>
      </c>
      <c r="B142" s="2">
        <v>45798</v>
      </c>
      <c r="C142" s="1" t="s">
        <v>518</v>
      </c>
      <c r="D142" s="1" t="s">
        <v>519</v>
      </c>
      <c r="E142" s="3">
        <v>22</v>
      </c>
      <c r="F142" s="3">
        <v>2.5</v>
      </c>
      <c r="G142" s="3">
        <v>55</v>
      </c>
      <c r="H142" s="1" t="s">
        <v>510</v>
      </c>
    </row>
    <row r="143" spans="1:8" ht="15" thickBot="1" x14ac:dyDescent="0.35">
      <c r="A143" s="1" t="s">
        <v>142</v>
      </c>
      <c r="B143" s="2">
        <v>45799</v>
      </c>
      <c r="C143" s="1" t="s">
        <v>520</v>
      </c>
      <c r="D143" s="1" t="s">
        <v>516</v>
      </c>
      <c r="E143" s="3">
        <v>7</v>
      </c>
      <c r="F143" s="3">
        <v>18</v>
      </c>
      <c r="G143" s="3">
        <v>126</v>
      </c>
      <c r="H143" s="1" t="s">
        <v>512</v>
      </c>
    </row>
    <row r="144" spans="1:8" ht="15" thickBot="1" x14ac:dyDescent="0.35">
      <c r="A144" s="1" t="s">
        <v>143</v>
      </c>
      <c r="B144" s="2">
        <v>45800</v>
      </c>
      <c r="C144" s="1" t="s">
        <v>521</v>
      </c>
      <c r="D144" s="1" t="s">
        <v>519</v>
      </c>
      <c r="E144" s="3">
        <v>50</v>
      </c>
      <c r="F144" s="3">
        <v>1</v>
      </c>
      <c r="G144" s="3">
        <v>50</v>
      </c>
      <c r="H144" s="1" t="s">
        <v>514</v>
      </c>
    </row>
    <row r="145" spans="1:8" ht="15" thickBot="1" x14ac:dyDescent="0.35">
      <c r="A145" s="1" t="s">
        <v>144</v>
      </c>
      <c r="B145" s="2">
        <v>45801</v>
      </c>
      <c r="C145" s="1" t="s">
        <v>522</v>
      </c>
      <c r="D145" s="1" t="s">
        <v>523</v>
      </c>
      <c r="E145" s="3">
        <v>9</v>
      </c>
      <c r="F145" s="3">
        <v>6</v>
      </c>
      <c r="G145" s="3">
        <v>54</v>
      </c>
      <c r="H145" s="1" t="s">
        <v>517</v>
      </c>
    </row>
    <row r="146" spans="1:8" ht="15" thickBot="1" x14ac:dyDescent="0.35">
      <c r="A146" s="1" t="s">
        <v>145</v>
      </c>
      <c r="B146" s="2">
        <v>45802</v>
      </c>
      <c r="C146" s="1" t="s">
        <v>508</v>
      </c>
      <c r="D146" s="1" t="s">
        <v>509</v>
      </c>
      <c r="E146" s="3">
        <v>14</v>
      </c>
      <c r="F146" s="3">
        <v>5</v>
      </c>
      <c r="G146" s="3">
        <v>70</v>
      </c>
      <c r="H146" s="1" t="s">
        <v>510</v>
      </c>
    </row>
    <row r="147" spans="1:8" ht="15" thickBot="1" x14ac:dyDescent="0.35">
      <c r="A147" s="1" t="s">
        <v>146</v>
      </c>
      <c r="B147" s="2">
        <v>45803</v>
      </c>
      <c r="C147" s="1" t="s">
        <v>511</v>
      </c>
      <c r="D147" s="1" t="s">
        <v>509</v>
      </c>
      <c r="E147" s="3">
        <v>20</v>
      </c>
      <c r="F147" s="3">
        <v>4</v>
      </c>
      <c r="G147" s="3">
        <v>80</v>
      </c>
      <c r="H147" s="1" t="s">
        <v>512</v>
      </c>
    </row>
    <row r="148" spans="1:8" ht="27.6" thickBot="1" x14ac:dyDescent="0.35">
      <c r="A148" s="1" t="s">
        <v>147</v>
      </c>
      <c r="B148" s="2">
        <v>45804</v>
      </c>
      <c r="C148" s="1" t="s">
        <v>513</v>
      </c>
      <c r="D148" s="1" t="s">
        <v>509</v>
      </c>
      <c r="E148" s="3">
        <v>12</v>
      </c>
      <c r="F148" s="3">
        <v>5.5</v>
      </c>
      <c r="G148" s="3">
        <v>66</v>
      </c>
      <c r="H148" s="1" t="s">
        <v>514</v>
      </c>
    </row>
    <row r="149" spans="1:8" ht="15" thickBot="1" x14ac:dyDescent="0.35">
      <c r="A149" s="1" t="s">
        <v>148</v>
      </c>
      <c r="B149" s="2">
        <v>45805</v>
      </c>
      <c r="C149" s="1" t="s">
        <v>515</v>
      </c>
      <c r="D149" s="1" t="s">
        <v>516</v>
      </c>
      <c r="E149" s="3">
        <v>7</v>
      </c>
      <c r="F149" s="3">
        <v>20</v>
      </c>
      <c r="G149" s="3">
        <v>140</v>
      </c>
      <c r="H149" s="1" t="s">
        <v>517</v>
      </c>
    </row>
    <row r="150" spans="1:8" ht="27.6" thickBot="1" x14ac:dyDescent="0.35">
      <c r="A150" s="1" t="s">
        <v>149</v>
      </c>
      <c r="B150" s="2">
        <v>45806</v>
      </c>
      <c r="C150" s="1" t="s">
        <v>518</v>
      </c>
      <c r="D150" s="1" t="s">
        <v>519</v>
      </c>
      <c r="E150" s="3">
        <v>35</v>
      </c>
      <c r="F150" s="3">
        <v>2.5</v>
      </c>
      <c r="G150" s="3">
        <v>87.5</v>
      </c>
      <c r="H150" s="1" t="s">
        <v>510</v>
      </c>
    </row>
    <row r="151" spans="1:8" ht="15" thickBot="1" x14ac:dyDescent="0.35">
      <c r="A151" s="1" t="s">
        <v>150</v>
      </c>
      <c r="B151" s="2">
        <v>45807</v>
      </c>
      <c r="C151" s="1" t="s">
        <v>520</v>
      </c>
      <c r="D151" s="1" t="s">
        <v>516</v>
      </c>
      <c r="E151" s="3">
        <v>10</v>
      </c>
      <c r="F151" s="3">
        <v>18</v>
      </c>
      <c r="G151" s="3">
        <v>180</v>
      </c>
      <c r="H151" s="1" t="s">
        <v>512</v>
      </c>
    </row>
    <row r="152" spans="1:8" ht="15" thickBot="1" x14ac:dyDescent="0.35">
      <c r="A152" s="1" t="s">
        <v>151</v>
      </c>
      <c r="B152" s="2">
        <v>45808</v>
      </c>
      <c r="C152" s="1" t="s">
        <v>521</v>
      </c>
      <c r="D152" s="1" t="s">
        <v>519</v>
      </c>
      <c r="E152" s="3">
        <v>70</v>
      </c>
      <c r="F152" s="3">
        <v>1</v>
      </c>
      <c r="G152" s="3">
        <v>70</v>
      </c>
      <c r="H152" s="1" t="s">
        <v>514</v>
      </c>
    </row>
    <row r="153" spans="1:8" ht="15" thickBot="1" x14ac:dyDescent="0.35">
      <c r="A153" s="1" t="s">
        <v>152</v>
      </c>
      <c r="B153" s="2">
        <v>45809</v>
      </c>
      <c r="C153" s="1" t="s">
        <v>522</v>
      </c>
      <c r="D153" s="1" t="s">
        <v>523</v>
      </c>
      <c r="E153" s="3">
        <v>15</v>
      </c>
      <c r="F153" s="3">
        <v>6</v>
      </c>
      <c r="G153" s="3">
        <v>90</v>
      </c>
      <c r="H153" s="1" t="s">
        <v>517</v>
      </c>
    </row>
    <row r="154" spans="1:8" ht="15" thickBot="1" x14ac:dyDescent="0.35">
      <c r="A154" s="1" t="s">
        <v>153</v>
      </c>
      <c r="B154" s="2">
        <v>45810</v>
      </c>
      <c r="C154" s="1" t="s">
        <v>508</v>
      </c>
      <c r="D154" s="1" t="s">
        <v>509</v>
      </c>
      <c r="E154" s="3">
        <v>16</v>
      </c>
      <c r="F154" s="3">
        <v>5</v>
      </c>
      <c r="G154" s="3">
        <v>80</v>
      </c>
      <c r="H154" s="1" t="s">
        <v>510</v>
      </c>
    </row>
    <row r="155" spans="1:8" ht="15" thickBot="1" x14ac:dyDescent="0.35">
      <c r="A155" s="1" t="s">
        <v>154</v>
      </c>
      <c r="B155" s="2">
        <v>45811</v>
      </c>
      <c r="C155" s="1" t="s">
        <v>511</v>
      </c>
      <c r="D155" s="1" t="s">
        <v>509</v>
      </c>
      <c r="E155" s="3">
        <v>22</v>
      </c>
      <c r="F155" s="3">
        <v>4</v>
      </c>
      <c r="G155" s="3">
        <v>88</v>
      </c>
      <c r="H155" s="1" t="s">
        <v>512</v>
      </c>
    </row>
    <row r="156" spans="1:8" ht="27.6" thickBot="1" x14ac:dyDescent="0.35">
      <c r="A156" s="1" t="s">
        <v>155</v>
      </c>
      <c r="B156" s="2">
        <v>45812</v>
      </c>
      <c r="C156" s="1" t="s">
        <v>513</v>
      </c>
      <c r="D156" s="1" t="s">
        <v>509</v>
      </c>
      <c r="E156" s="3">
        <v>15</v>
      </c>
      <c r="F156" s="3">
        <v>5.5</v>
      </c>
      <c r="G156" s="3">
        <v>82.5</v>
      </c>
      <c r="H156" s="1" t="s">
        <v>514</v>
      </c>
    </row>
    <row r="157" spans="1:8" ht="15" thickBot="1" x14ac:dyDescent="0.35">
      <c r="A157" s="1" t="s">
        <v>156</v>
      </c>
      <c r="B157" s="2">
        <v>45813</v>
      </c>
      <c r="C157" s="1" t="s">
        <v>515</v>
      </c>
      <c r="D157" s="1" t="s">
        <v>516</v>
      </c>
      <c r="E157" s="3">
        <v>8</v>
      </c>
      <c r="F157" s="3">
        <v>20</v>
      </c>
      <c r="G157" s="3">
        <v>160</v>
      </c>
      <c r="H157" s="1" t="s">
        <v>517</v>
      </c>
    </row>
    <row r="158" spans="1:8" ht="27.6" thickBot="1" x14ac:dyDescent="0.35">
      <c r="A158" s="1" t="s">
        <v>157</v>
      </c>
      <c r="B158" s="2">
        <v>45814</v>
      </c>
      <c r="C158" s="1" t="s">
        <v>518</v>
      </c>
      <c r="D158" s="1" t="s">
        <v>519</v>
      </c>
      <c r="E158" s="3">
        <v>45</v>
      </c>
      <c r="F158" s="3">
        <v>2.5</v>
      </c>
      <c r="G158" s="3">
        <v>112.5</v>
      </c>
      <c r="H158" s="1" t="s">
        <v>510</v>
      </c>
    </row>
    <row r="159" spans="1:8" ht="15" thickBot="1" x14ac:dyDescent="0.35">
      <c r="A159" s="1" t="s">
        <v>158</v>
      </c>
      <c r="B159" s="2">
        <v>45815</v>
      </c>
      <c r="C159" s="1" t="s">
        <v>520</v>
      </c>
      <c r="D159" s="1" t="s">
        <v>516</v>
      </c>
      <c r="E159" s="3">
        <v>14</v>
      </c>
      <c r="F159" s="3">
        <v>18</v>
      </c>
      <c r="G159" s="3">
        <v>252</v>
      </c>
      <c r="H159" s="1" t="s">
        <v>512</v>
      </c>
    </row>
    <row r="160" spans="1:8" ht="15" thickBot="1" x14ac:dyDescent="0.35">
      <c r="A160" s="1" t="s">
        <v>159</v>
      </c>
      <c r="B160" s="2">
        <v>45816</v>
      </c>
      <c r="C160" s="1" t="s">
        <v>521</v>
      </c>
      <c r="D160" s="1" t="s">
        <v>519</v>
      </c>
      <c r="E160" s="3">
        <v>90</v>
      </c>
      <c r="F160" s="3">
        <v>1</v>
      </c>
      <c r="G160" s="3">
        <v>90</v>
      </c>
      <c r="H160" s="1" t="s">
        <v>514</v>
      </c>
    </row>
    <row r="161" spans="1:8" ht="15" thickBot="1" x14ac:dyDescent="0.35">
      <c r="A161" s="1" t="s">
        <v>160</v>
      </c>
      <c r="B161" s="2">
        <v>45817</v>
      </c>
      <c r="C161" s="1" t="s">
        <v>522</v>
      </c>
      <c r="D161" s="1" t="s">
        <v>523</v>
      </c>
      <c r="E161" s="3">
        <v>18</v>
      </c>
      <c r="F161" s="3">
        <v>6</v>
      </c>
      <c r="G161" s="3">
        <v>108</v>
      </c>
      <c r="H161" s="1" t="s">
        <v>517</v>
      </c>
    </row>
    <row r="162" spans="1:8" ht="15" thickBot="1" x14ac:dyDescent="0.35">
      <c r="A162" s="1" t="s">
        <v>161</v>
      </c>
      <c r="B162" s="2">
        <v>45818</v>
      </c>
      <c r="C162" s="1" t="s">
        <v>508</v>
      </c>
      <c r="D162" s="1" t="s">
        <v>509</v>
      </c>
      <c r="E162" s="3">
        <v>8</v>
      </c>
      <c r="F162" s="3">
        <v>5</v>
      </c>
      <c r="G162" s="3">
        <v>40</v>
      </c>
      <c r="H162" s="1" t="s">
        <v>510</v>
      </c>
    </row>
    <row r="163" spans="1:8" ht="15" thickBot="1" x14ac:dyDescent="0.35">
      <c r="A163" s="1" t="s">
        <v>162</v>
      </c>
      <c r="B163" s="2">
        <v>45819</v>
      </c>
      <c r="C163" s="1" t="s">
        <v>511</v>
      </c>
      <c r="D163" s="1" t="s">
        <v>509</v>
      </c>
      <c r="E163" s="3">
        <v>15</v>
      </c>
      <c r="F163" s="3">
        <v>4</v>
      </c>
      <c r="G163" s="3">
        <v>60</v>
      </c>
      <c r="H163" s="1" t="s">
        <v>512</v>
      </c>
    </row>
    <row r="164" spans="1:8" ht="27.6" thickBot="1" x14ac:dyDescent="0.35">
      <c r="A164" s="1" t="s">
        <v>163</v>
      </c>
      <c r="B164" s="2">
        <v>45820</v>
      </c>
      <c r="C164" s="1" t="s">
        <v>513</v>
      </c>
      <c r="D164" s="1" t="s">
        <v>509</v>
      </c>
      <c r="E164" s="3">
        <v>6</v>
      </c>
      <c r="F164" s="3">
        <v>5.5</v>
      </c>
      <c r="G164" s="3">
        <v>33</v>
      </c>
      <c r="H164" s="1" t="s">
        <v>514</v>
      </c>
    </row>
    <row r="165" spans="1:8" ht="15" thickBot="1" x14ac:dyDescent="0.35">
      <c r="A165" s="1" t="s">
        <v>164</v>
      </c>
      <c r="B165" s="2">
        <v>45821</v>
      </c>
      <c r="C165" s="1" t="s">
        <v>515</v>
      </c>
      <c r="D165" s="1" t="s">
        <v>516</v>
      </c>
      <c r="E165" s="3">
        <v>4</v>
      </c>
      <c r="F165" s="3">
        <v>20</v>
      </c>
      <c r="G165" s="3">
        <v>80</v>
      </c>
      <c r="H165" s="1" t="s">
        <v>517</v>
      </c>
    </row>
    <row r="166" spans="1:8" ht="27.6" thickBot="1" x14ac:dyDescent="0.35">
      <c r="A166" s="1" t="s">
        <v>165</v>
      </c>
      <c r="B166" s="2">
        <v>45822</v>
      </c>
      <c r="C166" s="1" t="s">
        <v>518</v>
      </c>
      <c r="D166" s="1" t="s">
        <v>519</v>
      </c>
      <c r="E166" s="3">
        <v>20</v>
      </c>
      <c r="F166" s="3">
        <v>2.5</v>
      </c>
      <c r="G166" s="3">
        <v>50</v>
      </c>
      <c r="H166" s="1" t="s">
        <v>510</v>
      </c>
    </row>
    <row r="167" spans="1:8" ht="15" thickBot="1" x14ac:dyDescent="0.35">
      <c r="A167" s="1" t="s">
        <v>166</v>
      </c>
      <c r="B167" s="2">
        <v>45823</v>
      </c>
      <c r="C167" s="1" t="s">
        <v>520</v>
      </c>
      <c r="D167" s="1" t="s">
        <v>516</v>
      </c>
      <c r="E167" s="3">
        <v>5</v>
      </c>
      <c r="F167" s="3">
        <v>18</v>
      </c>
      <c r="G167" s="3">
        <v>90</v>
      </c>
      <c r="H167" s="1" t="s">
        <v>512</v>
      </c>
    </row>
    <row r="168" spans="1:8" ht="15" thickBot="1" x14ac:dyDescent="0.35">
      <c r="A168" s="1" t="s">
        <v>167</v>
      </c>
      <c r="B168" s="2">
        <v>45824</v>
      </c>
      <c r="C168" s="1" t="s">
        <v>521</v>
      </c>
      <c r="D168" s="1" t="s">
        <v>519</v>
      </c>
      <c r="E168" s="3">
        <v>40</v>
      </c>
      <c r="F168" s="3">
        <v>1</v>
      </c>
      <c r="G168" s="3">
        <v>40</v>
      </c>
      <c r="H168" s="1" t="s">
        <v>514</v>
      </c>
    </row>
    <row r="169" spans="1:8" ht="15" thickBot="1" x14ac:dyDescent="0.35">
      <c r="A169" s="1" t="s">
        <v>168</v>
      </c>
      <c r="B169" s="2">
        <v>45825</v>
      </c>
      <c r="C169" s="1" t="s">
        <v>522</v>
      </c>
      <c r="D169" s="1" t="s">
        <v>523</v>
      </c>
      <c r="E169" s="3">
        <v>8</v>
      </c>
      <c r="F169" s="3">
        <v>6</v>
      </c>
      <c r="G169" s="3">
        <v>48</v>
      </c>
      <c r="H169" s="1" t="s">
        <v>517</v>
      </c>
    </row>
    <row r="170" spans="1:8" ht="15" thickBot="1" x14ac:dyDescent="0.35">
      <c r="A170" s="1" t="s">
        <v>169</v>
      </c>
      <c r="B170" s="2">
        <v>45826</v>
      </c>
      <c r="C170" s="1" t="s">
        <v>508</v>
      </c>
      <c r="D170" s="1" t="s">
        <v>509</v>
      </c>
      <c r="E170" s="3">
        <v>12</v>
      </c>
      <c r="F170" s="3">
        <v>5</v>
      </c>
      <c r="G170" s="3">
        <v>60</v>
      </c>
      <c r="H170" s="1" t="s">
        <v>510</v>
      </c>
    </row>
    <row r="171" spans="1:8" ht="15" thickBot="1" x14ac:dyDescent="0.35">
      <c r="A171" s="1" t="s">
        <v>170</v>
      </c>
      <c r="B171" s="2">
        <v>45827</v>
      </c>
      <c r="C171" s="1" t="s">
        <v>511</v>
      </c>
      <c r="D171" s="1" t="s">
        <v>509</v>
      </c>
      <c r="E171" s="3">
        <v>18</v>
      </c>
      <c r="F171" s="3">
        <v>4</v>
      </c>
      <c r="G171" s="3">
        <v>72</v>
      </c>
      <c r="H171" s="1" t="s">
        <v>512</v>
      </c>
    </row>
    <row r="172" spans="1:8" ht="27.6" thickBot="1" x14ac:dyDescent="0.35">
      <c r="A172" s="1" t="s">
        <v>171</v>
      </c>
      <c r="B172" s="2">
        <v>45828</v>
      </c>
      <c r="C172" s="1" t="s">
        <v>513</v>
      </c>
      <c r="D172" s="1" t="s">
        <v>509</v>
      </c>
      <c r="E172" s="3">
        <v>10</v>
      </c>
      <c r="F172" s="3">
        <v>5.5</v>
      </c>
      <c r="G172" s="3">
        <v>55</v>
      </c>
      <c r="H172" s="1" t="s">
        <v>514</v>
      </c>
    </row>
    <row r="173" spans="1:8" ht="15" thickBot="1" x14ac:dyDescent="0.35">
      <c r="A173" s="1" t="s">
        <v>172</v>
      </c>
      <c r="B173" s="2">
        <v>45829</v>
      </c>
      <c r="C173" s="1" t="s">
        <v>515</v>
      </c>
      <c r="D173" s="1" t="s">
        <v>516</v>
      </c>
      <c r="E173" s="3">
        <v>6</v>
      </c>
      <c r="F173" s="3">
        <v>20</v>
      </c>
      <c r="G173" s="3">
        <v>120</v>
      </c>
      <c r="H173" s="1" t="s">
        <v>517</v>
      </c>
    </row>
    <row r="174" spans="1:8" ht="27.6" thickBot="1" x14ac:dyDescent="0.35">
      <c r="A174" s="1" t="s">
        <v>173</v>
      </c>
      <c r="B174" s="2">
        <v>45830</v>
      </c>
      <c r="C174" s="1" t="s">
        <v>518</v>
      </c>
      <c r="D174" s="1" t="s">
        <v>519</v>
      </c>
      <c r="E174" s="3">
        <v>28</v>
      </c>
      <c r="F174" s="3">
        <v>2.5</v>
      </c>
      <c r="G174" s="3">
        <v>70</v>
      </c>
      <c r="H174" s="1" t="s">
        <v>510</v>
      </c>
    </row>
    <row r="175" spans="1:8" ht="15" thickBot="1" x14ac:dyDescent="0.35">
      <c r="A175" s="1" t="s">
        <v>174</v>
      </c>
      <c r="B175" s="2">
        <v>45831</v>
      </c>
      <c r="C175" s="1" t="s">
        <v>520</v>
      </c>
      <c r="D175" s="1" t="s">
        <v>516</v>
      </c>
      <c r="E175" s="3">
        <v>8</v>
      </c>
      <c r="F175" s="3">
        <v>18</v>
      </c>
      <c r="G175" s="3">
        <v>144</v>
      </c>
      <c r="H175" s="1" t="s">
        <v>512</v>
      </c>
    </row>
    <row r="176" spans="1:8" ht="15" thickBot="1" x14ac:dyDescent="0.35">
      <c r="A176" s="1" t="s">
        <v>175</v>
      </c>
      <c r="B176" s="2">
        <v>45832</v>
      </c>
      <c r="C176" s="1" t="s">
        <v>521</v>
      </c>
      <c r="D176" s="1" t="s">
        <v>519</v>
      </c>
      <c r="E176" s="3">
        <v>60</v>
      </c>
      <c r="F176" s="3">
        <v>1</v>
      </c>
      <c r="G176" s="3">
        <v>60</v>
      </c>
      <c r="H176" s="1" t="s">
        <v>514</v>
      </c>
    </row>
    <row r="177" spans="1:8" ht="15" thickBot="1" x14ac:dyDescent="0.35">
      <c r="A177" s="1" t="s">
        <v>176</v>
      </c>
      <c r="B177" s="2">
        <v>45833</v>
      </c>
      <c r="C177" s="1" t="s">
        <v>522</v>
      </c>
      <c r="D177" s="1" t="s">
        <v>523</v>
      </c>
      <c r="E177" s="3">
        <v>11</v>
      </c>
      <c r="F177" s="3">
        <v>6</v>
      </c>
      <c r="G177" s="3">
        <v>66</v>
      </c>
      <c r="H177" s="1" t="s">
        <v>517</v>
      </c>
    </row>
    <row r="178" spans="1:8" ht="15" thickBot="1" x14ac:dyDescent="0.35">
      <c r="A178" s="1" t="s">
        <v>177</v>
      </c>
      <c r="B178" s="2">
        <v>45834</v>
      </c>
      <c r="C178" s="1" t="s">
        <v>508</v>
      </c>
      <c r="D178" s="1" t="s">
        <v>509</v>
      </c>
      <c r="E178" s="3">
        <v>14</v>
      </c>
      <c r="F178" s="3">
        <v>5</v>
      </c>
      <c r="G178" s="3">
        <v>70</v>
      </c>
      <c r="H178" s="1" t="s">
        <v>510</v>
      </c>
    </row>
    <row r="179" spans="1:8" ht="15" thickBot="1" x14ac:dyDescent="0.35">
      <c r="A179" s="1" t="s">
        <v>178</v>
      </c>
      <c r="B179" s="2">
        <v>45835</v>
      </c>
      <c r="C179" s="1" t="s">
        <v>511</v>
      </c>
      <c r="D179" s="1" t="s">
        <v>509</v>
      </c>
      <c r="E179" s="3">
        <v>24</v>
      </c>
      <c r="F179" s="3">
        <v>4</v>
      </c>
      <c r="G179" s="3">
        <v>96</v>
      </c>
      <c r="H179" s="1" t="s">
        <v>512</v>
      </c>
    </row>
    <row r="180" spans="1:8" ht="27.6" thickBot="1" x14ac:dyDescent="0.35">
      <c r="A180" s="1" t="s">
        <v>179</v>
      </c>
      <c r="B180" s="2">
        <v>45836</v>
      </c>
      <c r="C180" s="1" t="s">
        <v>513</v>
      </c>
      <c r="D180" s="1" t="s">
        <v>509</v>
      </c>
      <c r="E180" s="3">
        <v>13</v>
      </c>
      <c r="F180" s="3">
        <v>5.5</v>
      </c>
      <c r="G180" s="3">
        <v>71.5</v>
      </c>
      <c r="H180" s="1" t="s">
        <v>514</v>
      </c>
    </row>
    <row r="181" spans="1:8" ht="15" thickBot="1" x14ac:dyDescent="0.35">
      <c r="A181" s="1" t="s">
        <v>180</v>
      </c>
      <c r="B181" s="2">
        <v>45837</v>
      </c>
      <c r="C181" s="1" t="s">
        <v>515</v>
      </c>
      <c r="D181" s="1" t="s">
        <v>516</v>
      </c>
      <c r="E181" s="3">
        <v>7</v>
      </c>
      <c r="F181" s="3">
        <v>20</v>
      </c>
      <c r="G181" s="3">
        <v>140</v>
      </c>
      <c r="H181" s="1" t="s">
        <v>517</v>
      </c>
    </row>
    <row r="182" spans="1:8" ht="27.6" thickBot="1" x14ac:dyDescent="0.35">
      <c r="A182" s="1" t="s">
        <v>181</v>
      </c>
      <c r="B182" s="2">
        <v>45838</v>
      </c>
      <c r="C182" s="1" t="s">
        <v>518</v>
      </c>
      <c r="D182" s="1" t="s">
        <v>519</v>
      </c>
      <c r="E182" s="3">
        <v>35</v>
      </c>
      <c r="F182" s="3">
        <v>2.5</v>
      </c>
      <c r="G182" s="3">
        <v>87.5</v>
      </c>
      <c r="H182" s="1" t="s">
        <v>510</v>
      </c>
    </row>
    <row r="183" spans="1:8" ht="15" thickBot="1" x14ac:dyDescent="0.35">
      <c r="A183" s="1" t="s">
        <v>182</v>
      </c>
      <c r="B183" s="2">
        <v>45839</v>
      </c>
      <c r="C183" s="1" t="s">
        <v>520</v>
      </c>
      <c r="D183" s="1" t="s">
        <v>516</v>
      </c>
      <c r="E183" s="3">
        <v>10</v>
      </c>
      <c r="F183" s="3">
        <v>18</v>
      </c>
      <c r="G183" s="3">
        <v>180</v>
      </c>
      <c r="H183" s="1" t="s">
        <v>512</v>
      </c>
    </row>
    <row r="184" spans="1:8" ht="15" thickBot="1" x14ac:dyDescent="0.35">
      <c r="A184" s="1" t="s">
        <v>183</v>
      </c>
      <c r="B184" s="2">
        <v>45840</v>
      </c>
      <c r="C184" s="1" t="s">
        <v>521</v>
      </c>
      <c r="D184" s="1" t="s">
        <v>519</v>
      </c>
      <c r="E184" s="3">
        <v>75</v>
      </c>
      <c r="F184" s="3">
        <v>1</v>
      </c>
      <c r="G184" s="3">
        <v>75</v>
      </c>
      <c r="H184" s="1" t="s">
        <v>514</v>
      </c>
    </row>
    <row r="185" spans="1:8" ht="15" thickBot="1" x14ac:dyDescent="0.35">
      <c r="A185" s="1" t="s">
        <v>184</v>
      </c>
      <c r="B185" s="2">
        <v>45841</v>
      </c>
      <c r="C185" s="1" t="s">
        <v>522</v>
      </c>
      <c r="D185" s="1" t="s">
        <v>523</v>
      </c>
      <c r="E185" s="3">
        <v>14</v>
      </c>
      <c r="F185" s="3">
        <v>6</v>
      </c>
      <c r="G185" s="3">
        <v>84</v>
      </c>
      <c r="H185" s="1" t="s">
        <v>517</v>
      </c>
    </row>
    <row r="186" spans="1:8" ht="15" thickBot="1" x14ac:dyDescent="0.35">
      <c r="A186" s="1" t="s">
        <v>185</v>
      </c>
      <c r="B186" s="2">
        <v>45842</v>
      </c>
      <c r="C186" s="1" t="s">
        <v>508</v>
      </c>
      <c r="D186" s="1" t="s">
        <v>509</v>
      </c>
      <c r="E186" s="3">
        <v>17</v>
      </c>
      <c r="F186" s="3">
        <v>5</v>
      </c>
      <c r="G186" s="3">
        <v>85</v>
      </c>
      <c r="H186" s="1" t="s">
        <v>510</v>
      </c>
    </row>
    <row r="187" spans="1:8" ht="15" thickBot="1" x14ac:dyDescent="0.35">
      <c r="A187" s="1" t="s">
        <v>186</v>
      </c>
      <c r="B187" s="2">
        <v>45843</v>
      </c>
      <c r="C187" s="1" t="s">
        <v>511</v>
      </c>
      <c r="D187" s="1" t="s">
        <v>509</v>
      </c>
      <c r="E187" s="3">
        <v>26</v>
      </c>
      <c r="F187" s="3">
        <v>4</v>
      </c>
      <c r="G187" s="3">
        <v>104</v>
      </c>
      <c r="H187" s="1" t="s">
        <v>512</v>
      </c>
    </row>
    <row r="188" spans="1:8" ht="27.6" thickBot="1" x14ac:dyDescent="0.35">
      <c r="A188" s="1" t="s">
        <v>187</v>
      </c>
      <c r="B188" s="2">
        <v>45844</v>
      </c>
      <c r="C188" s="1" t="s">
        <v>513</v>
      </c>
      <c r="D188" s="1" t="s">
        <v>509</v>
      </c>
      <c r="E188" s="3">
        <v>16</v>
      </c>
      <c r="F188" s="3">
        <v>5.5</v>
      </c>
      <c r="G188" s="3">
        <v>88</v>
      </c>
      <c r="H188" s="1" t="s">
        <v>514</v>
      </c>
    </row>
    <row r="189" spans="1:8" ht="15" thickBot="1" x14ac:dyDescent="0.35">
      <c r="A189" s="1" t="s">
        <v>188</v>
      </c>
      <c r="B189" s="2">
        <v>45845</v>
      </c>
      <c r="C189" s="1" t="s">
        <v>515</v>
      </c>
      <c r="D189" s="1" t="s">
        <v>516</v>
      </c>
      <c r="E189" s="3">
        <v>10</v>
      </c>
      <c r="F189" s="3">
        <v>20</v>
      </c>
      <c r="G189" s="3">
        <v>200</v>
      </c>
      <c r="H189" s="1" t="s">
        <v>517</v>
      </c>
    </row>
    <row r="190" spans="1:8" ht="27.6" thickBot="1" x14ac:dyDescent="0.35">
      <c r="A190" s="1" t="s">
        <v>189</v>
      </c>
      <c r="B190" s="2">
        <v>45846</v>
      </c>
      <c r="C190" s="1" t="s">
        <v>518</v>
      </c>
      <c r="D190" s="1" t="s">
        <v>519</v>
      </c>
      <c r="E190" s="3">
        <v>45</v>
      </c>
      <c r="F190" s="3">
        <v>2.5</v>
      </c>
      <c r="G190" s="3">
        <v>112.5</v>
      </c>
      <c r="H190" s="1" t="s">
        <v>510</v>
      </c>
    </row>
    <row r="191" spans="1:8" ht="15" thickBot="1" x14ac:dyDescent="0.35">
      <c r="A191" s="1" t="s">
        <v>190</v>
      </c>
      <c r="B191" s="2">
        <v>45847</v>
      </c>
      <c r="C191" s="1" t="s">
        <v>520</v>
      </c>
      <c r="D191" s="1" t="s">
        <v>516</v>
      </c>
      <c r="E191" s="3">
        <v>13</v>
      </c>
      <c r="F191" s="3">
        <v>18</v>
      </c>
      <c r="G191" s="3">
        <v>234</v>
      </c>
      <c r="H191" s="1" t="s">
        <v>512</v>
      </c>
    </row>
    <row r="192" spans="1:8" ht="15" thickBot="1" x14ac:dyDescent="0.35">
      <c r="A192" s="1" t="s">
        <v>191</v>
      </c>
      <c r="B192" s="2">
        <v>45848</v>
      </c>
      <c r="C192" s="1" t="s">
        <v>521</v>
      </c>
      <c r="D192" s="1" t="s">
        <v>519</v>
      </c>
      <c r="E192" s="3">
        <v>95</v>
      </c>
      <c r="F192" s="3">
        <v>1</v>
      </c>
      <c r="G192" s="3">
        <v>95</v>
      </c>
      <c r="H192" s="1" t="s">
        <v>514</v>
      </c>
    </row>
    <row r="193" spans="1:8" ht="15" thickBot="1" x14ac:dyDescent="0.35">
      <c r="A193" s="1" t="s">
        <v>192</v>
      </c>
      <c r="B193" s="2">
        <v>45849</v>
      </c>
      <c r="C193" s="1" t="s">
        <v>522</v>
      </c>
      <c r="D193" s="1" t="s">
        <v>523</v>
      </c>
      <c r="E193" s="3">
        <v>18</v>
      </c>
      <c r="F193" s="3">
        <v>6</v>
      </c>
      <c r="G193" s="3">
        <v>108</v>
      </c>
      <c r="H193" s="1" t="s">
        <v>517</v>
      </c>
    </row>
    <row r="194" spans="1:8" ht="15" thickBot="1" x14ac:dyDescent="0.35">
      <c r="A194" s="1" t="s">
        <v>193</v>
      </c>
      <c r="B194" s="2">
        <v>45850</v>
      </c>
      <c r="C194" s="1" t="s">
        <v>508</v>
      </c>
      <c r="D194" s="1" t="s">
        <v>509</v>
      </c>
      <c r="E194" s="3">
        <v>7</v>
      </c>
      <c r="F194" s="3">
        <v>5</v>
      </c>
      <c r="G194" s="3">
        <v>35</v>
      </c>
      <c r="H194" s="1" t="s">
        <v>510</v>
      </c>
    </row>
    <row r="195" spans="1:8" ht="15" thickBot="1" x14ac:dyDescent="0.35">
      <c r="A195" s="1" t="s">
        <v>194</v>
      </c>
      <c r="B195" s="2">
        <v>45851</v>
      </c>
      <c r="C195" s="1" t="s">
        <v>511</v>
      </c>
      <c r="D195" s="1" t="s">
        <v>509</v>
      </c>
      <c r="E195" s="3">
        <v>12</v>
      </c>
      <c r="F195" s="3">
        <v>4</v>
      </c>
      <c r="G195" s="3">
        <v>48</v>
      </c>
      <c r="H195" s="1" t="s">
        <v>512</v>
      </c>
    </row>
    <row r="196" spans="1:8" ht="27.6" thickBot="1" x14ac:dyDescent="0.35">
      <c r="A196" s="1" t="s">
        <v>195</v>
      </c>
      <c r="B196" s="2">
        <v>45852</v>
      </c>
      <c r="C196" s="1" t="s">
        <v>513</v>
      </c>
      <c r="D196" s="1" t="s">
        <v>509</v>
      </c>
      <c r="E196" s="3">
        <v>5</v>
      </c>
      <c r="F196" s="3">
        <v>5.5</v>
      </c>
      <c r="G196" s="3">
        <v>27.5</v>
      </c>
      <c r="H196" s="1" t="s">
        <v>514</v>
      </c>
    </row>
    <row r="197" spans="1:8" ht="15" thickBot="1" x14ac:dyDescent="0.35">
      <c r="A197" s="1" t="s">
        <v>196</v>
      </c>
      <c r="B197" s="2">
        <v>45853</v>
      </c>
      <c r="C197" s="1" t="s">
        <v>515</v>
      </c>
      <c r="D197" s="1" t="s">
        <v>516</v>
      </c>
      <c r="E197" s="3">
        <v>3</v>
      </c>
      <c r="F197" s="3">
        <v>20</v>
      </c>
      <c r="G197" s="3">
        <v>60</v>
      </c>
      <c r="H197" s="1" t="s">
        <v>517</v>
      </c>
    </row>
    <row r="198" spans="1:8" ht="27.6" thickBot="1" x14ac:dyDescent="0.35">
      <c r="A198" s="1" t="s">
        <v>197</v>
      </c>
      <c r="B198" s="2">
        <v>45854</v>
      </c>
      <c r="C198" s="1" t="s">
        <v>518</v>
      </c>
      <c r="D198" s="1" t="s">
        <v>519</v>
      </c>
      <c r="E198" s="3">
        <v>15</v>
      </c>
      <c r="F198" s="3">
        <v>2.5</v>
      </c>
      <c r="G198" s="3">
        <v>37.5</v>
      </c>
      <c r="H198" s="1" t="s">
        <v>510</v>
      </c>
    </row>
    <row r="199" spans="1:8" ht="15" thickBot="1" x14ac:dyDescent="0.35">
      <c r="A199" s="1" t="s">
        <v>198</v>
      </c>
      <c r="B199" s="2">
        <v>45855</v>
      </c>
      <c r="C199" s="1" t="s">
        <v>520</v>
      </c>
      <c r="D199" s="1" t="s">
        <v>516</v>
      </c>
      <c r="E199" s="3">
        <v>4</v>
      </c>
      <c r="F199" s="3">
        <v>18</v>
      </c>
      <c r="G199" s="3">
        <v>72</v>
      </c>
      <c r="H199" s="1" t="s">
        <v>512</v>
      </c>
    </row>
    <row r="200" spans="1:8" ht="15" thickBot="1" x14ac:dyDescent="0.35">
      <c r="A200" s="1" t="s">
        <v>199</v>
      </c>
      <c r="B200" s="2">
        <v>45856</v>
      </c>
      <c r="C200" s="1" t="s">
        <v>521</v>
      </c>
      <c r="D200" s="1" t="s">
        <v>519</v>
      </c>
      <c r="E200" s="3">
        <v>25</v>
      </c>
      <c r="F200" s="3">
        <v>1</v>
      </c>
      <c r="G200" s="3">
        <v>25</v>
      </c>
      <c r="H200" s="1" t="s">
        <v>514</v>
      </c>
    </row>
    <row r="201" spans="1:8" ht="15" thickBot="1" x14ac:dyDescent="0.35">
      <c r="A201" s="1" t="s">
        <v>200</v>
      </c>
      <c r="B201" s="2">
        <v>45857</v>
      </c>
      <c r="C201" s="1" t="s">
        <v>522</v>
      </c>
      <c r="D201" s="1" t="s">
        <v>523</v>
      </c>
      <c r="E201" s="3">
        <v>6</v>
      </c>
      <c r="F201" s="3">
        <v>6</v>
      </c>
      <c r="G201" s="3">
        <v>36</v>
      </c>
      <c r="H201" s="1" t="s">
        <v>517</v>
      </c>
    </row>
    <row r="202" spans="1:8" ht="15" thickBot="1" x14ac:dyDescent="0.35">
      <c r="A202" s="1" t="s">
        <v>201</v>
      </c>
      <c r="B202" s="2">
        <v>45858</v>
      </c>
      <c r="C202" s="1" t="s">
        <v>508</v>
      </c>
      <c r="D202" s="1" t="s">
        <v>509</v>
      </c>
      <c r="E202" s="3">
        <v>10</v>
      </c>
      <c r="F202" s="3">
        <v>5</v>
      </c>
      <c r="G202" s="3">
        <v>50</v>
      </c>
      <c r="H202" s="1" t="s">
        <v>510</v>
      </c>
    </row>
    <row r="203" spans="1:8" ht="15" thickBot="1" x14ac:dyDescent="0.35">
      <c r="A203" s="1" t="s">
        <v>202</v>
      </c>
      <c r="B203" s="2">
        <v>45859</v>
      </c>
      <c r="C203" s="1" t="s">
        <v>511</v>
      </c>
      <c r="D203" s="1" t="s">
        <v>509</v>
      </c>
      <c r="E203" s="3">
        <v>15</v>
      </c>
      <c r="F203" s="3">
        <v>4</v>
      </c>
      <c r="G203" s="3">
        <v>60</v>
      </c>
      <c r="H203" s="1" t="s">
        <v>512</v>
      </c>
    </row>
    <row r="204" spans="1:8" ht="27.6" thickBot="1" x14ac:dyDescent="0.35">
      <c r="A204" s="1" t="s">
        <v>203</v>
      </c>
      <c r="B204" s="2">
        <v>45860</v>
      </c>
      <c r="C204" s="1" t="s">
        <v>513</v>
      </c>
      <c r="D204" s="1" t="s">
        <v>509</v>
      </c>
      <c r="E204" s="3">
        <v>8</v>
      </c>
      <c r="F204" s="3">
        <v>5.5</v>
      </c>
      <c r="G204" s="3">
        <v>44</v>
      </c>
      <c r="H204" s="1" t="s">
        <v>514</v>
      </c>
    </row>
    <row r="205" spans="1:8" ht="15" thickBot="1" x14ac:dyDescent="0.35">
      <c r="A205" s="1" t="s">
        <v>204</v>
      </c>
      <c r="B205" s="2">
        <v>45861</v>
      </c>
      <c r="C205" s="1" t="s">
        <v>515</v>
      </c>
      <c r="D205" s="1" t="s">
        <v>516</v>
      </c>
      <c r="E205" s="3">
        <v>5</v>
      </c>
      <c r="F205" s="3">
        <v>20</v>
      </c>
      <c r="G205" s="3">
        <v>100</v>
      </c>
      <c r="H205" s="1" t="s">
        <v>517</v>
      </c>
    </row>
    <row r="206" spans="1:8" ht="27.6" thickBot="1" x14ac:dyDescent="0.35">
      <c r="A206" s="1" t="s">
        <v>205</v>
      </c>
      <c r="B206" s="2">
        <v>45862</v>
      </c>
      <c r="C206" s="1" t="s">
        <v>518</v>
      </c>
      <c r="D206" s="1" t="s">
        <v>519</v>
      </c>
      <c r="E206" s="3">
        <v>25</v>
      </c>
      <c r="F206" s="3">
        <v>2.5</v>
      </c>
      <c r="G206" s="3">
        <v>62.5</v>
      </c>
      <c r="H206" s="1" t="s">
        <v>510</v>
      </c>
    </row>
    <row r="207" spans="1:8" ht="15" thickBot="1" x14ac:dyDescent="0.35">
      <c r="A207" s="1" t="s">
        <v>206</v>
      </c>
      <c r="B207" s="2">
        <v>45863</v>
      </c>
      <c r="C207" s="1" t="s">
        <v>520</v>
      </c>
      <c r="D207" s="1" t="s">
        <v>516</v>
      </c>
      <c r="E207" s="3">
        <v>7</v>
      </c>
      <c r="F207" s="3">
        <v>18</v>
      </c>
      <c r="G207" s="3">
        <v>126</v>
      </c>
      <c r="H207" s="1" t="s">
        <v>512</v>
      </c>
    </row>
    <row r="208" spans="1:8" ht="15" thickBot="1" x14ac:dyDescent="0.35">
      <c r="A208" s="1" t="s">
        <v>207</v>
      </c>
      <c r="B208" s="2">
        <v>45864</v>
      </c>
      <c r="C208" s="1" t="s">
        <v>521</v>
      </c>
      <c r="D208" s="1" t="s">
        <v>519</v>
      </c>
      <c r="E208" s="3">
        <v>40</v>
      </c>
      <c r="F208" s="3">
        <v>1</v>
      </c>
      <c r="G208" s="3">
        <v>40</v>
      </c>
      <c r="H208" s="1" t="s">
        <v>514</v>
      </c>
    </row>
    <row r="209" spans="1:8" ht="15" thickBot="1" x14ac:dyDescent="0.35">
      <c r="A209" s="1" t="s">
        <v>208</v>
      </c>
      <c r="B209" s="2">
        <v>45865</v>
      </c>
      <c r="C209" s="1" t="s">
        <v>522</v>
      </c>
      <c r="D209" s="1" t="s">
        <v>523</v>
      </c>
      <c r="E209" s="3">
        <v>9</v>
      </c>
      <c r="F209" s="3">
        <v>6</v>
      </c>
      <c r="G209" s="3">
        <v>54</v>
      </c>
      <c r="H209" s="1" t="s">
        <v>517</v>
      </c>
    </row>
    <row r="210" spans="1:8" ht="15" thickBot="1" x14ac:dyDescent="0.35">
      <c r="A210" s="1" t="s">
        <v>209</v>
      </c>
      <c r="B210" s="2">
        <v>45866</v>
      </c>
      <c r="C210" s="1" t="s">
        <v>508</v>
      </c>
      <c r="D210" s="1" t="s">
        <v>509</v>
      </c>
      <c r="E210" s="3">
        <v>13</v>
      </c>
      <c r="F210" s="3">
        <v>5</v>
      </c>
      <c r="G210" s="3">
        <v>65</v>
      </c>
      <c r="H210" s="1" t="s">
        <v>510</v>
      </c>
    </row>
    <row r="211" spans="1:8" ht="15" thickBot="1" x14ac:dyDescent="0.35">
      <c r="A211" s="1" t="s">
        <v>210</v>
      </c>
      <c r="B211" s="2">
        <v>45867</v>
      </c>
      <c r="C211" s="1" t="s">
        <v>511</v>
      </c>
      <c r="D211" s="1" t="s">
        <v>509</v>
      </c>
      <c r="E211" s="3">
        <v>20</v>
      </c>
      <c r="F211" s="3">
        <v>4</v>
      </c>
      <c r="G211" s="3">
        <v>80</v>
      </c>
      <c r="H211" s="1" t="s">
        <v>512</v>
      </c>
    </row>
    <row r="212" spans="1:8" ht="27.6" thickBot="1" x14ac:dyDescent="0.35">
      <c r="A212" s="1" t="s">
        <v>211</v>
      </c>
      <c r="B212" s="2">
        <v>45868</v>
      </c>
      <c r="C212" s="1" t="s">
        <v>513</v>
      </c>
      <c r="D212" s="1" t="s">
        <v>509</v>
      </c>
      <c r="E212" s="3">
        <v>12</v>
      </c>
      <c r="F212" s="3">
        <v>5.5</v>
      </c>
      <c r="G212" s="3">
        <v>66</v>
      </c>
      <c r="H212" s="1" t="s">
        <v>514</v>
      </c>
    </row>
    <row r="213" spans="1:8" ht="15" thickBot="1" x14ac:dyDescent="0.35">
      <c r="A213" s="1" t="s">
        <v>212</v>
      </c>
      <c r="B213" s="2">
        <v>45869</v>
      </c>
      <c r="C213" s="1" t="s">
        <v>515</v>
      </c>
      <c r="D213" s="1" t="s">
        <v>516</v>
      </c>
      <c r="E213" s="3">
        <v>7</v>
      </c>
      <c r="F213" s="3">
        <v>20</v>
      </c>
      <c r="G213" s="3">
        <v>140</v>
      </c>
      <c r="H213" s="1" t="s">
        <v>517</v>
      </c>
    </row>
    <row r="214" spans="1:8" ht="27.6" thickBot="1" x14ac:dyDescent="0.35">
      <c r="A214" s="1" t="s">
        <v>213</v>
      </c>
      <c r="B214" s="2">
        <v>45870</v>
      </c>
      <c r="C214" s="1" t="s">
        <v>518</v>
      </c>
      <c r="D214" s="1" t="s">
        <v>519</v>
      </c>
      <c r="E214" s="3">
        <v>30</v>
      </c>
      <c r="F214" s="3">
        <v>2.5</v>
      </c>
      <c r="G214" s="3">
        <v>75</v>
      </c>
      <c r="H214" s="1" t="s">
        <v>510</v>
      </c>
    </row>
    <row r="215" spans="1:8" ht="15" thickBot="1" x14ac:dyDescent="0.35">
      <c r="A215" s="1" t="s">
        <v>214</v>
      </c>
      <c r="B215" s="2">
        <v>45871</v>
      </c>
      <c r="C215" s="1" t="s">
        <v>520</v>
      </c>
      <c r="D215" s="1" t="s">
        <v>516</v>
      </c>
      <c r="E215" s="3">
        <v>9</v>
      </c>
      <c r="F215" s="3">
        <v>18</v>
      </c>
      <c r="G215" s="3">
        <v>162</v>
      </c>
      <c r="H215" s="1" t="s">
        <v>512</v>
      </c>
    </row>
    <row r="216" spans="1:8" ht="15" thickBot="1" x14ac:dyDescent="0.35">
      <c r="A216" s="1" t="s">
        <v>215</v>
      </c>
      <c r="B216" s="2">
        <v>45872</v>
      </c>
      <c r="C216" s="1" t="s">
        <v>521</v>
      </c>
      <c r="D216" s="1" t="s">
        <v>519</v>
      </c>
      <c r="E216" s="3">
        <v>50</v>
      </c>
      <c r="F216" s="3">
        <v>1</v>
      </c>
      <c r="G216" s="3">
        <v>50</v>
      </c>
      <c r="H216" s="1" t="s">
        <v>514</v>
      </c>
    </row>
    <row r="217" spans="1:8" ht="15" thickBot="1" x14ac:dyDescent="0.35">
      <c r="A217" s="1" t="s">
        <v>216</v>
      </c>
      <c r="B217" s="2">
        <v>45873</v>
      </c>
      <c r="C217" s="1" t="s">
        <v>522</v>
      </c>
      <c r="D217" s="1" t="s">
        <v>523</v>
      </c>
      <c r="E217" s="3">
        <v>11</v>
      </c>
      <c r="F217" s="3">
        <v>6</v>
      </c>
      <c r="G217" s="3">
        <v>66</v>
      </c>
      <c r="H217" s="1" t="s">
        <v>517</v>
      </c>
    </row>
    <row r="218" spans="1:8" ht="15" thickBot="1" x14ac:dyDescent="0.35">
      <c r="A218" s="1" t="s">
        <v>217</v>
      </c>
      <c r="B218" s="2">
        <v>45874</v>
      </c>
      <c r="C218" s="1" t="s">
        <v>508</v>
      </c>
      <c r="D218" s="1" t="s">
        <v>509</v>
      </c>
      <c r="E218" s="3">
        <v>15</v>
      </c>
      <c r="F218" s="3">
        <v>5</v>
      </c>
      <c r="G218" s="3">
        <v>75</v>
      </c>
      <c r="H218" s="1" t="s">
        <v>510</v>
      </c>
    </row>
    <row r="219" spans="1:8" ht="15" thickBot="1" x14ac:dyDescent="0.35">
      <c r="A219" s="1" t="s">
        <v>218</v>
      </c>
      <c r="B219" s="2">
        <v>45875</v>
      </c>
      <c r="C219" s="1" t="s">
        <v>511</v>
      </c>
      <c r="D219" s="1" t="s">
        <v>509</v>
      </c>
      <c r="E219" s="3">
        <v>22</v>
      </c>
      <c r="F219" s="3">
        <v>4</v>
      </c>
      <c r="G219" s="3">
        <v>88</v>
      </c>
      <c r="H219" s="1" t="s">
        <v>512</v>
      </c>
    </row>
    <row r="220" spans="1:8" ht="27.6" thickBot="1" x14ac:dyDescent="0.35">
      <c r="A220" s="1" t="s">
        <v>219</v>
      </c>
      <c r="B220" s="2">
        <v>45876</v>
      </c>
      <c r="C220" s="1" t="s">
        <v>513</v>
      </c>
      <c r="D220" s="1" t="s">
        <v>509</v>
      </c>
      <c r="E220" s="3">
        <v>14</v>
      </c>
      <c r="F220" s="3">
        <v>5.5</v>
      </c>
      <c r="G220" s="3">
        <v>77</v>
      </c>
      <c r="H220" s="1" t="s">
        <v>514</v>
      </c>
    </row>
    <row r="221" spans="1:8" ht="15" thickBot="1" x14ac:dyDescent="0.35">
      <c r="A221" s="1" t="s">
        <v>220</v>
      </c>
      <c r="B221" s="2">
        <v>45877</v>
      </c>
      <c r="C221" s="1" t="s">
        <v>515</v>
      </c>
      <c r="D221" s="1" t="s">
        <v>516</v>
      </c>
      <c r="E221" s="3">
        <v>8</v>
      </c>
      <c r="F221" s="3">
        <v>20</v>
      </c>
      <c r="G221" s="3">
        <v>160</v>
      </c>
      <c r="H221" s="1" t="s">
        <v>517</v>
      </c>
    </row>
    <row r="222" spans="1:8" ht="27.6" thickBot="1" x14ac:dyDescent="0.35">
      <c r="A222" s="1" t="s">
        <v>221</v>
      </c>
      <c r="B222" s="2">
        <v>45878</v>
      </c>
      <c r="C222" s="1" t="s">
        <v>518</v>
      </c>
      <c r="D222" s="1" t="s">
        <v>519</v>
      </c>
      <c r="E222" s="3">
        <v>40</v>
      </c>
      <c r="F222" s="3">
        <v>2.5</v>
      </c>
      <c r="G222" s="3">
        <v>100</v>
      </c>
      <c r="H222" s="1" t="s">
        <v>510</v>
      </c>
    </row>
    <row r="223" spans="1:8" ht="15" thickBot="1" x14ac:dyDescent="0.35">
      <c r="A223" s="1" t="s">
        <v>222</v>
      </c>
      <c r="B223" s="2">
        <v>45879</v>
      </c>
      <c r="C223" s="1" t="s">
        <v>520</v>
      </c>
      <c r="D223" s="1" t="s">
        <v>516</v>
      </c>
      <c r="E223" s="3">
        <v>11</v>
      </c>
      <c r="F223" s="3">
        <v>18</v>
      </c>
      <c r="G223" s="3">
        <v>198</v>
      </c>
      <c r="H223" s="1" t="s">
        <v>512</v>
      </c>
    </row>
    <row r="224" spans="1:8" ht="15" thickBot="1" x14ac:dyDescent="0.35">
      <c r="A224" s="1" t="s">
        <v>223</v>
      </c>
      <c r="B224" s="2">
        <v>45880</v>
      </c>
      <c r="C224" s="1" t="s">
        <v>521</v>
      </c>
      <c r="D224" s="1" t="s">
        <v>519</v>
      </c>
      <c r="E224" s="3">
        <v>70</v>
      </c>
      <c r="F224" s="3">
        <v>1</v>
      </c>
      <c r="G224" s="3">
        <v>70</v>
      </c>
      <c r="H224" s="1" t="s">
        <v>514</v>
      </c>
    </row>
    <row r="225" spans="1:8" ht="15" thickBot="1" x14ac:dyDescent="0.35">
      <c r="A225" s="1" t="s">
        <v>224</v>
      </c>
      <c r="B225" s="2">
        <v>45881</v>
      </c>
      <c r="C225" s="1" t="s">
        <v>522</v>
      </c>
      <c r="D225" s="1" t="s">
        <v>523</v>
      </c>
      <c r="E225" s="3">
        <v>14</v>
      </c>
      <c r="F225" s="3">
        <v>6</v>
      </c>
      <c r="G225" s="3">
        <v>84</v>
      </c>
      <c r="H225" s="1" t="s">
        <v>517</v>
      </c>
    </row>
    <row r="226" spans="1:8" ht="15" thickBot="1" x14ac:dyDescent="0.35">
      <c r="A226" s="1" t="s">
        <v>225</v>
      </c>
      <c r="B226" s="2">
        <v>45882</v>
      </c>
      <c r="C226" s="1" t="s">
        <v>508</v>
      </c>
      <c r="D226" s="1" t="s">
        <v>509</v>
      </c>
      <c r="E226" s="3">
        <v>18</v>
      </c>
      <c r="F226" s="3">
        <v>5</v>
      </c>
      <c r="G226" s="3">
        <v>90</v>
      </c>
      <c r="H226" s="1" t="s">
        <v>510</v>
      </c>
    </row>
    <row r="227" spans="1:8" ht="15" thickBot="1" x14ac:dyDescent="0.35">
      <c r="A227" s="1" t="s">
        <v>226</v>
      </c>
      <c r="B227" s="2">
        <v>45883</v>
      </c>
      <c r="C227" s="1" t="s">
        <v>511</v>
      </c>
      <c r="D227" s="1" t="s">
        <v>509</v>
      </c>
      <c r="E227" s="3">
        <v>28</v>
      </c>
      <c r="F227" s="3">
        <v>4</v>
      </c>
      <c r="G227" s="3">
        <v>112</v>
      </c>
      <c r="H227" s="1" t="s">
        <v>512</v>
      </c>
    </row>
    <row r="228" spans="1:8" ht="27.6" thickBot="1" x14ac:dyDescent="0.35">
      <c r="A228" s="1" t="s">
        <v>227</v>
      </c>
      <c r="B228" s="2">
        <v>45884</v>
      </c>
      <c r="C228" s="1" t="s">
        <v>513</v>
      </c>
      <c r="D228" s="1" t="s">
        <v>509</v>
      </c>
      <c r="E228" s="3">
        <v>16</v>
      </c>
      <c r="F228" s="3">
        <v>5.5</v>
      </c>
      <c r="G228" s="3">
        <v>88</v>
      </c>
      <c r="H228" s="1" t="s">
        <v>514</v>
      </c>
    </row>
    <row r="229" spans="1:8" ht="15" thickBot="1" x14ac:dyDescent="0.35">
      <c r="A229" s="1" t="s">
        <v>228</v>
      </c>
      <c r="B229" s="2">
        <v>45885</v>
      </c>
      <c r="C229" s="1" t="s">
        <v>515</v>
      </c>
      <c r="D229" s="1" t="s">
        <v>516</v>
      </c>
      <c r="E229" s="3">
        <v>10</v>
      </c>
      <c r="F229" s="3">
        <v>20</v>
      </c>
      <c r="G229" s="3">
        <v>200</v>
      </c>
      <c r="H229" s="1" t="s">
        <v>517</v>
      </c>
    </row>
    <row r="230" spans="1:8" ht="27.6" thickBot="1" x14ac:dyDescent="0.35">
      <c r="A230" s="1" t="s">
        <v>229</v>
      </c>
      <c r="B230" s="2">
        <v>45886</v>
      </c>
      <c r="C230" s="1" t="s">
        <v>518</v>
      </c>
      <c r="D230" s="1" t="s">
        <v>519</v>
      </c>
      <c r="E230" s="3">
        <v>50</v>
      </c>
      <c r="F230" s="3">
        <v>2.5</v>
      </c>
      <c r="G230" s="3">
        <v>125</v>
      </c>
      <c r="H230" s="1" t="s">
        <v>510</v>
      </c>
    </row>
    <row r="231" spans="1:8" ht="15" thickBot="1" x14ac:dyDescent="0.35">
      <c r="A231" s="1" t="s">
        <v>230</v>
      </c>
      <c r="B231" s="2">
        <v>45887</v>
      </c>
      <c r="C231" s="1" t="s">
        <v>520</v>
      </c>
      <c r="D231" s="1" t="s">
        <v>516</v>
      </c>
      <c r="E231" s="3">
        <v>15</v>
      </c>
      <c r="F231" s="3">
        <v>18</v>
      </c>
      <c r="G231" s="3">
        <v>270</v>
      </c>
      <c r="H231" s="1" t="s">
        <v>512</v>
      </c>
    </row>
    <row r="232" spans="1:8" ht="15" thickBot="1" x14ac:dyDescent="0.35">
      <c r="A232" s="1" t="s">
        <v>231</v>
      </c>
      <c r="B232" s="2">
        <v>45888</v>
      </c>
      <c r="C232" s="1" t="s">
        <v>521</v>
      </c>
      <c r="D232" s="1" t="s">
        <v>519</v>
      </c>
      <c r="E232" s="3">
        <v>100</v>
      </c>
      <c r="F232" s="3">
        <v>1</v>
      </c>
      <c r="G232" s="3">
        <v>100</v>
      </c>
      <c r="H232" s="1" t="s">
        <v>514</v>
      </c>
    </row>
    <row r="233" spans="1:8" ht="15" thickBot="1" x14ac:dyDescent="0.35">
      <c r="A233" s="1" t="s">
        <v>232</v>
      </c>
      <c r="B233" s="2">
        <v>45889</v>
      </c>
      <c r="C233" s="1" t="s">
        <v>522</v>
      </c>
      <c r="D233" s="1" t="s">
        <v>523</v>
      </c>
      <c r="E233" s="3">
        <v>20</v>
      </c>
      <c r="F233" s="3">
        <v>6</v>
      </c>
      <c r="G233" s="3">
        <v>120</v>
      </c>
      <c r="H233" s="1" t="s">
        <v>517</v>
      </c>
    </row>
    <row r="234" spans="1:8" ht="15" thickBot="1" x14ac:dyDescent="0.35">
      <c r="A234" s="1" t="s">
        <v>233</v>
      </c>
      <c r="B234" s="2">
        <v>45890</v>
      </c>
      <c r="C234" s="1" t="s">
        <v>508</v>
      </c>
      <c r="D234" s="1" t="s">
        <v>509</v>
      </c>
      <c r="E234" s="3">
        <v>6</v>
      </c>
      <c r="F234" s="3">
        <v>5</v>
      </c>
      <c r="G234" s="3">
        <v>30</v>
      </c>
      <c r="H234" s="1" t="s">
        <v>510</v>
      </c>
    </row>
    <row r="235" spans="1:8" ht="15" thickBot="1" x14ac:dyDescent="0.35">
      <c r="A235" s="1" t="s">
        <v>234</v>
      </c>
      <c r="B235" s="2">
        <v>45891</v>
      </c>
      <c r="C235" s="1" t="s">
        <v>511</v>
      </c>
      <c r="D235" s="1" t="s">
        <v>509</v>
      </c>
      <c r="E235" s="3">
        <v>12</v>
      </c>
      <c r="F235" s="3">
        <v>4</v>
      </c>
      <c r="G235" s="3">
        <v>48</v>
      </c>
      <c r="H235" s="1" t="s">
        <v>512</v>
      </c>
    </row>
    <row r="236" spans="1:8" ht="27.6" thickBot="1" x14ac:dyDescent="0.35">
      <c r="A236" s="1" t="s">
        <v>235</v>
      </c>
      <c r="B236" s="2">
        <v>45892</v>
      </c>
      <c r="C236" s="1" t="s">
        <v>513</v>
      </c>
      <c r="D236" s="1" t="s">
        <v>509</v>
      </c>
      <c r="E236" s="3">
        <v>7</v>
      </c>
      <c r="F236" s="3">
        <v>5.5</v>
      </c>
      <c r="G236" s="3">
        <v>38.5</v>
      </c>
      <c r="H236" s="1" t="s">
        <v>514</v>
      </c>
    </row>
    <row r="237" spans="1:8" ht="15" thickBot="1" x14ac:dyDescent="0.35">
      <c r="A237" s="1" t="s">
        <v>236</v>
      </c>
      <c r="B237" s="2">
        <v>45893</v>
      </c>
      <c r="C237" s="1" t="s">
        <v>515</v>
      </c>
      <c r="D237" s="1" t="s">
        <v>516</v>
      </c>
      <c r="E237" s="3">
        <v>4</v>
      </c>
      <c r="F237" s="3">
        <v>20</v>
      </c>
      <c r="G237" s="3">
        <v>80</v>
      </c>
      <c r="H237" s="1" t="s">
        <v>517</v>
      </c>
    </row>
    <row r="238" spans="1:8" ht="27.6" thickBot="1" x14ac:dyDescent="0.35">
      <c r="A238" s="1" t="s">
        <v>237</v>
      </c>
      <c r="B238" s="2">
        <v>45894</v>
      </c>
      <c r="C238" s="1" t="s">
        <v>518</v>
      </c>
      <c r="D238" s="1" t="s">
        <v>519</v>
      </c>
      <c r="E238" s="3">
        <v>15</v>
      </c>
      <c r="F238" s="3">
        <v>2.5</v>
      </c>
      <c r="G238" s="3">
        <v>37.5</v>
      </c>
      <c r="H238" s="1" t="s">
        <v>510</v>
      </c>
    </row>
    <row r="239" spans="1:8" ht="15" thickBot="1" x14ac:dyDescent="0.35">
      <c r="A239" s="1" t="s">
        <v>238</v>
      </c>
      <c r="B239" s="2">
        <v>45895</v>
      </c>
      <c r="C239" s="1" t="s">
        <v>520</v>
      </c>
      <c r="D239" s="1" t="s">
        <v>516</v>
      </c>
      <c r="E239" s="3">
        <v>5</v>
      </c>
      <c r="F239" s="3">
        <v>18</v>
      </c>
      <c r="G239" s="3">
        <v>90</v>
      </c>
      <c r="H239" s="1" t="s">
        <v>512</v>
      </c>
    </row>
    <row r="240" spans="1:8" ht="15" thickBot="1" x14ac:dyDescent="0.35">
      <c r="A240" s="1" t="s">
        <v>239</v>
      </c>
      <c r="B240" s="2">
        <v>45896</v>
      </c>
      <c r="C240" s="1" t="s">
        <v>521</v>
      </c>
      <c r="D240" s="1" t="s">
        <v>519</v>
      </c>
      <c r="E240" s="3">
        <v>30</v>
      </c>
      <c r="F240" s="3">
        <v>1</v>
      </c>
      <c r="G240" s="3">
        <v>30</v>
      </c>
      <c r="H240" s="1" t="s">
        <v>514</v>
      </c>
    </row>
    <row r="241" spans="1:8" ht="15" thickBot="1" x14ac:dyDescent="0.35">
      <c r="A241" s="1" t="s">
        <v>240</v>
      </c>
      <c r="B241" s="2">
        <v>45897</v>
      </c>
      <c r="C241" s="1" t="s">
        <v>522</v>
      </c>
      <c r="D241" s="1" t="s">
        <v>523</v>
      </c>
      <c r="E241" s="3">
        <v>8</v>
      </c>
      <c r="F241" s="3">
        <v>6</v>
      </c>
      <c r="G241" s="3">
        <v>48</v>
      </c>
      <c r="H241" s="1" t="s">
        <v>517</v>
      </c>
    </row>
    <row r="242" spans="1:8" ht="15" thickBot="1" x14ac:dyDescent="0.35">
      <c r="A242" s="1" t="s">
        <v>241</v>
      </c>
      <c r="B242" s="2">
        <v>45898</v>
      </c>
      <c r="C242" s="1" t="s">
        <v>508</v>
      </c>
      <c r="D242" s="1" t="s">
        <v>509</v>
      </c>
      <c r="E242" s="3">
        <v>10</v>
      </c>
      <c r="F242" s="3">
        <v>5</v>
      </c>
      <c r="G242" s="3">
        <v>50</v>
      </c>
      <c r="H242" s="1" t="s">
        <v>510</v>
      </c>
    </row>
    <row r="243" spans="1:8" ht="15" thickBot="1" x14ac:dyDescent="0.35">
      <c r="A243" s="1" t="s">
        <v>242</v>
      </c>
      <c r="B243" s="2">
        <v>45899</v>
      </c>
      <c r="C243" s="1" t="s">
        <v>511</v>
      </c>
      <c r="D243" s="1" t="s">
        <v>509</v>
      </c>
      <c r="E243" s="3">
        <v>16</v>
      </c>
      <c r="F243" s="3">
        <v>4</v>
      </c>
      <c r="G243" s="3">
        <v>64</v>
      </c>
      <c r="H243" s="1" t="s">
        <v>512</v>
      </c>
    </row>
    <row r="244" spans="1:8" ht="27.6" thickBot="1" x14ac:dyDescent="0.35">
      <c r="A244" s="1" t="s">
        <v>243</v>
      </c>
      <c r="B244" s="2">
        <v>45900</v>
      </c>
      <c r="C244" s="1" t="s">
        <v>513</v>
      </c>
      <c r="D244" s="1" t="s">
        <v>509</v>
      </c>
      <c r="E244" s="3">
        <v>9</v>
      </c>
      <c r="F244" s="3">
        <v>5.5</v>
      </c>
      <c r="G244" s="3">
        <v>49.5</v>
      </c>
      <c r="H244" s="1" t="s">
        <v>514</v>
      </c>
    </row>
    <row r="245" spans="1:8" ht="15" thickBot="1" x14ac:dyDescent="0.35">
      <c r="A245" s="1" t="s">
        <v>244</v>
      </c>
      <c r="B245" s="2">
        <v>45901</v>
      </c>
      <c r="C245" s="1" t="s">
        <v>515</v>
      </c>
      <c r="D245" s="1" t="s">
        <v>516</v>
      </c>
      <c r="E245" s="3">
        <v>6</v>
      </c>
      <c r="F245" s="3">
        <v>20</v>
      </c>
      <c r="G245" s="3">
        <v>120</v>
      </c>
      <c r="H245" s="1" t="s">
        <v>517</v>
      </c>
    </row>
    <row r="246" spans="1:8" ht="27.6" thickBot="1" x14ac:dyDescent="0.35">
      <c r="A246" s="1" t="s">
        <v>245</v>
      </c>
      <c r="B246" s="2">
        <v>45902</v>
      </c>
      <c r="C246" s="1" t="s">
        <v>518</v>
      </c>
      <c r="D246" s="1" t="s">
        <v>519</v>
      </c>
      <c r="E246" s="3">
        <v>25</v>
      </c>
      <c r="F246" s="3">
        <v>2.5</v>
      </c>
      <c r="G246" s="3">
        <v>62.5</v>
      </c>
      <c r="H246" s="1" t="s">
        <v>510</v>
      </c>
    </row>
    <row r="247" spans="1:8" ht="15" thickBot="1" x14ac:dyDescent="0.35">
      <c r="A247" s="1" t="s">
        <v>246</v>
      </c>
      <c r="B247" s="2">
        <v>45903</v>
      </c>
      <c r="C247" s="1" t="s">
        <v>520</v>
      </c>
      <c r="D247" s="1" t="s">
        <v>516</v>
      </c>
      <c r="E247" s="3">
        <v>7</v>
      </c>
      <c r="F247" s="3">
        <v>18</v>
      </c>
      <c r="G247" s="3">
        <v>126</v>
      </c>
      <c r="H247" s="1" t="s">
        <v>512</v>
      </c>
    </row>
    <row r="248" spans="1:8" ht="15" thickBot="1" x14ac:dyDescent="0.35">
      <c r="A248" s="1" t="s">
        <v>247</v>
      </c>
      <c r="B248" s="2">
        <v>45904</v>
      </c>
      <c r="C248" s="1" t="s">
        <v>521</v>
      </c>
      <c r="D248" s="1" t="s">
        <v>519</v>
      </c>
      <c r="E248" s="3">
        <v>45</v>
      </c>
      <c r="F248" s="3">
        <v>1</v>
      </c>
      <c r="G248" s="3">
        <v>45</v>
      </c>
      <c r="H248" s="1" t="s">
        <v>514</v>
      </c>
    </row>
    <row r="249" spans="1:8" ht="15" thickBot="1" x14ac:dyDescent="0.35">
      <c r="A249" s="1" t="s">
        <v>248</v>
      </c>
      <c r="B249" s="2">
        <v>45905</v>
      </c>
      <c r="C249" s="1" t="s">
        <v>522</v>
      </c>
      <c r="D249" s="1" t="s">
        <v>523</v>
      </c>
      <c r="E249" s="3">
        <v>10</v>
      </c>
      <c r="F249" s="3">
        <v>6</v>
      </c>
      <c r="G249" s="3">
        <v>60</v>
      </c>
      <c r="H249" s="1" t="s">
        <v>517</v>
      </c>
    </row>
    <row r="250" spans="1:8" ht="15" thickBot="1" x14ac:dyDescent="0.35">
      <c r="A250" s="1" t="s">
        <v>249</v>
      </c>
      <c r="B250" s="2">
        <v>45906</v>
      </c>
      <c r="C250" s="1" t="s">
        <v>508</v>
      </c>
      <c r="D250" s="1" t="s">
        <v>509</v>
      </c>
      <c r="E250" s="3">
        <v>14</v>
      </c>
      <c r="F250" s="3">
        <v>5</v>
      </c>
      <c r="G250" s="3">
        <v>70</v>
      </c>
      <c r="H250" s="1" t="s">
        <v>510</v>
      </c>
    </row>
    <row r="251" spans="1:8" ht="15" thickBot="1" x14ac:dyDescent="0.35">
      <c r="A251" s="1" t="s">
        <v>250</v>
      </c>
      <c r="B251" s="2">
        <v>45907</v>
      </c>
      <c r="C251" s="1" t="s">
        <v>511</v>
      </c>
      <c r="D251" s="1" t="s">
        <v>509</v>
      </c>
      <c r="E251" s="3">
        <v>20</v>
      </c>
      <c r="F251" s="3">
        <v>4</v>
      </c>
      <c r="G251" s="3">
        <v>80</v>
      </c>
      <c r="H251" s="1" t="s">
        <v>512</v>
      </c>
    </row>
    <row r="252" spans="1:8" ht="27.6" thickBot="1" x14ac:dyDescent="0.35">
      <c r="A252" s="1" t="s">
        <v>251</v>
      </c>
      <c r="B252" s="2">
        <v>45908</v>
      </c>
      <c r="C252" s="1" t="s">
        <v>513</v>
      </c>
      <c r="D252" s="1" t="s">
        <v>509</v>
      </c>
      <c r="E252" s="3">
        <v>12</v>
      </c>
      <c r="F252" s="3">
        <v>5.5</v>
      </c>
      <c r="G252" s="3">
        <v>66</v>
      </c>
      <c r="H252" s="1" t="s">
        <v>514</v>
      </c>
    </row>
    <row r="253" spans="1:8" ht="15" thickBot="1" x14ac:dyDescent="0.35">
      <c r="A253" s="1" t="s">
        <v>252</v>
      </c>
      <c r="B253" s="2">
        <v>45909</v>
      </c>
      <c r="C253" s="1" t="s">
        <v>515</v>
      </c>
      <c r="D253" s="1" t="s">
        <v>516</v>
      </c>
      <c r="E253" s="3">
        <v>8</v>
      </c>
      <c r="F253" s="3">
        <v>20</v>
      </c>
      <c r="G253" s="3">
        <v>160</v>
      </c>
      <c r="H253" s="1" t="s">
        <v>517</v>
      </c>
    </row>
    <row r="254" spans="1:8" ht="27.6" thickBot="1" x14ac:dyDescent="0.35">
      <c r="A254" s="1" t="s">
        <v>253</v>
      </c>
      <c r="B254" s="2">
        <v>45910</v>
      </c>
      <c r="C254" s="1" t="s">
        <v>518</v>
      </c>
      <c r="D254" s="1" t="s">
        <v>519</v>
      </c>
      <c r="E254" s="3">
        <v>35</v>
      </c>
      <c r="F254" s="3">
        <v>2.5</v>
      </c>
      <c r="G254" s="3">
        <v>87.5</v>
      </c>
      <c r="H254" s="1" t="s">
        <v>510</v>
      </c>
    </row>
    <row r="255" spans="1:8" ht="15" thickBot="1" x14ac:dyDescent="0.35">
      <c r="A255" s="1" t="s">
        <v>254</v>
      </c>
      <c r="B255" s="2">
        <v>45911</v>
      </c>
      <c r="C255" s="1" t="s">
        <v>520</v>
      </c>
      <c r="D255" s="1" t="s">
        <v>516</v>
      </c>
      <c r="E255" s="3">
        <v>10</v>
      </c>
      <c r="F255" s="3">
        <v>18</v>
      </c>
      <c r="G255" s="3">
        <v>180</v>
      </c>
      <c r="H255" s="1" t="s">
        <v>512</v>
      </c>
    </row>
    <row r="256" spans="1:8" ht="15" thickBot="1" x14ac:dyDescent="0.35">
      <c r="A256" s="1" t="s">
        <v>255</v>
      </c>
      <c r="B256" s="2">
        <v>45912</v>
      </c>
      <c r="C256" s="1" t="s">
        <v>521</v>
      </c>
      <c r="D256" s="1" t="s">
        <v>519</v>
      </c>
      <c r="E256" s="3">
        <v>60</v>
      </c>
      <c r="F256" s="3">
        <v>1</v>
      </c>
      <c r="G256" s="3">
        <v>60</v>
      </c>
      <c r="H256" s="1" t="s">
        <v>514</v>
      </c>
    </row>
    <row r="257" spans="1:8" ht="15" thickBot="1" x14ac:dyDescent="0.35">
      <c r="A257" s="1" t="s">
        <v>256</v>
      </c>
      <c r="B257" s="2">
        <v>45913</v>
      </c>
      <c r="C257" s="1" t="s">
        <v>522</v>
      </c>
      <c r="D257" s="1" t="s">
        <v>523</v>
      </c>
      <c r="E257" s="3">
        <v>13</v>
      </c>
      <c r="F257" s="3">
        <v>6</v>
      </c>
      <c r="G257" s="3">
        <v>78</v>
      </c>
      <c r="H257" s="1" t="s">
        <v>517</v>
      </c>
    </row>
    <row r="258" spans="1:8" ht="15" thickBot="1" x14ac:dyDescent="0.35">
      <c r="A258" s="1" t="s">
        <v>257</v>
      </c>
      <c r="B258" s="2">
        <v>45914</v>
      </c>
      <c r="C258" s="1" t="s">
        <v>508</v>
      </c>
      <c r="D258" s="1" t="s">
        <v>509</v>
      </c>
      <c r="E258" s="3">
        <v>16</v>
      </c>
      <c r="F258" s="3">
        <v>5</v>
      </c>
      <c r="G258" s="3">
        <v>80</v>
      </c>
      <c r="H258" s="1" t="s">
        <v>510</v>
      </c>
    </row>
    <row r="259" spans="1:8" ht="15" thickBot="1" x14ac:dyDescent="0.35">
      <c r="A259" s="1" t="s">
        <v>258</v>
      </c>
      <c r="B259" s="2">
        <v>45915</v>
      </c>
      <c r="C259" s="1" t="s">
        <v>511</v>
      </c>
      <c r="D259" s="1" t="s">
        <v>509</v>
      </c>
      <c r="E259" s="3">
        <v>24</v>
      </c>
      <c r="F259" s="3">
        <v>4</v>
      </c>
      <c r="G259" s="3">
        <v>96</v>
      </c>
      <c r="H259" s="1" t="s">
        <v>512</v>
      </c>
    </row>
    <row r="260" spans="1:8" ht="27.6" thickBot="1" x14ac:dyDescent="0.35">
      <c r="A260" s="1" t="s">
        <v>259</v>
      </c>
      <c r="B260" s="2">
        <v>45916</v>
      </c>
      <c r="C260" s="1" t="s">
        <v>513</v>
      </c>
      <c r="D260" s="1" t="s">
        <v>509</v>
      </c>
      <c r="E260" s="3">
        <v>15</v>
      </c>
      <c r="F260" s="3">
        <v>5.5</v>
      </c>
      <c r="G260" s="3">
        <v>82.5</v>
      </c>
      <c r="H260" s="1" t="s">
        <v>514</v>
      </c>
    </row>
    <row r="261" spans="1:8" ht="15" thickBot="1" x14ac:dyDescent="0.35">
      <c r="A261" s="1" t="s">
        <v>260</v>
      </c>
      <c r="B261" s="2">
        <v>45917</v>
      </c>
      <c r="C261" s="1" t="s">
        <v>515</v>
      </c>
      <c r="D261" s="1" t="s">
        <v>516</v>
      </c>
      <c r="E261" s="3">
        <v>9</v>
      </c>
      <c r="F261" s="3">
        <v>20</v>
      </c>
      <c r="G261" s="3">
        <v>180</v>
      </c>
      <c r="H261" s="1" t="s">
        <v>517</v>
      </c>
    </row>
    <row r="262" spans="1:8" ht="27.6" thickBot="1" x14ac:dyDescent="0.35">
      <c r="A262" s="1" t="s">
        <v>261</v>
      </c>
      <c r="B262" s="2">
        <v>45918</v>
      </c>
      <c r="C262" s="1" t="s">
        <v>518</v>
      </c>
      <c r="D262" s="1" t="s">
        <v>519</v>
      </c>
      <c r="E262" s="3">
        <v>40</v>
      </c>
      <c r="F262" s="3">
        <v>2.5</v>
      </c>
      <c r="G262" s="3">
        <v>100</v>
      </c>
      <c r="H262" s="1" t="s">
        <v>510</v>
      </c>
    </row>
    <row r="263" spans="1:8" ht="15" thickBot="1" x14ac:dyDescent="0.35">
      <c r="A263" s="1" t="s">
        <v>262</v>
      </c>
      <c r="B263" s="2">
        <v>45919</v>
      </c>
      <c r="C263" s="1" t="s">
        <v>520</v>
      </c>
      <c r="D263" s="1" t="s">
        <v>516</v>
      </c>
      <c r="E263" s="3">
        <v>12</v>
      </c>
      <c r="F263" s="3">
        <v>18</v>
      </c>
      <c r="G263" s="3">
        <v>216</v>
      </c>
      <c r="H263" s="1" t="s">
        <v>512</v>
      </c>
    </row>
    <row r="264" spans="1:8" ht="15" thickBot="1" x14ac:dyDescent="0.35">
      <c r="A264" s="1" t="s">
        <v>263</v>
      </c>
      <c r="B264" s="2">
        <v>45920</v>
      </c>
      <c r="C264" s="1" t="s">
        <v>521</v>
      </c>
      <c r="D264" s="1" t="s">
        <v>519</v>
      </c>
      <c r="E264" s="3">
        <v>80</v>
      </c>
      <c r="F264" s="3">
        <v>1</v>
      </c>
      <c r="G264" s="3">
        <v>80</v>
      </c>
      <c r="H264" s="1" t="s">
        <v>514</v>
      </c>
    </row>
    <row r="265" spans="1:8" ht="15" thickBot="1" x14ac:dyDescent="0.35">
      <c r="A265" s="1" t="s">
        <v>264</v>
      </c>
      <c r="B265" s="2">
        <v>45921</v>
      </c>
      <c r="C265" s="1" t="s">
        <v>522</v>
      </c>
      <c r="D265" s="1" t="s">
        <v>523</v>
      </c>
      <c r="E265" s="3">
        <v>16</v>
      </c>
      <c r="F265" s="3">
        <v>6</v>
      </c>
      <c r="G265" s="3">
        <v>96</v>
      </c>
      <c r="H265" s="1" t="s">
        <v>517</v>
      </c>
    </row>
    <row r="266" spans="1:8" ht="15" thickBot="1" x14ac:dyDescent="0.35">
      <c r="A266" s="1" t="s">
        <v>265</v>
      </c>
      <c r="B266" s="2">
        <v>45922</v>
      </c>
      <c r="C266" s="1" t="s">
        <v>508</v>
      </c>
      <c r="D266" s="1" t="s">
        <v>509</v>
      </c>
      <c r="E266" s="3">
        <v>8</v>
      </c>
      <c r="F266" s="3">
        <v>5</v>
      </c>
      <c r="G266" s="3">
        <v>40</v>
      </c>
      <c r="H266" s="1" t="s">
        <v>510</v>
      </c>
    </row>
    <row r="267" spans="1:8" ht="15" thickBot="1" x14ac:dyDescent="0.35">
      <c r="A267" s="1" t="s">
        <v>266</v>
      </c>
      <c r="B267" s="2">
        <v>45923</v>
      </c>
      <c r="C267" s="1" t="s">
        <v>511</v>
      </c>
      <c r="D267" s="1" t="s">
        <v>509</v>
      </c>
      <c r="E267" s="3">
        <v>14</v>
      </c>
      <c r="F267" s="3">
        <v>4</v>
      </c>
      <c r="G267" s="3">
        <v>56</v>
      </c>
      <c r="H267" s="1" t="s">
        <v>512</v>
      </c>
    </row>
    <row r="268" spans="1:8" ht="27.6" thickBot="1" x14ac:dyDescent="0.35">
      <c r="A268" s="1" t="s">
        <v>267</v>
      </c>
      <c r="B268" s="2">
        <v>45924</v>
      </c>
      <c r="C268" s="1" t="s">
        <v>513</v>
      </c>
      <c r="D268" s="1" t="s">
        <v>509</v>
      </c>
      <c r="E268" s="3">
        <v>7</v>
      </c>
      <c r="F268" s="3">
        <v>5.5</v>
      </c>
      <c r="G268" s="3">
        <v>38.5</v>
      </c>
      <c r="H268" s="1" t="s">
        <v>514</v>
      </c>
    </row>
    <row r="269" spans="1:8" ht="15" thickBot="1" x14ac:dyDescent="0.35">
      <c r="A269" s="1" t="s">
        <v>268</v>
      </c>
      <c r="B269" s="2">
        <v>45925</v>
      </c>
      <c r="C269" s="1" t="s">
        <v>515</v>
      </c>
      <c r="D269" s="1" t="s">
        <v>516</v>
      </c>
      <c r="E269" s="3">
        <v>4</v>
      </c>
      <c r="F269" s="3">
        <v>20</v>
      </c>
      <c r="G269" s="3">
        <v>80</v>
      </c>
      <c r="H269" s="1" t="s">
        <v>517</v>
      </c>
    </row>
    <row r="270" spans="1:8" ht="27.6" thickBot="1" x14ac:dyDescent="0.35">
      <c r="A270" s="1" t="s">
        <v>269</v>
      </c>
      <c r="B270" s="2">
        <v>45926</v>
      </c>
      <c r="C270" s="1" t="s">
        <v>518</v>
      </c>
      <c r="D270" s="1" t="s">
        <v>519</v>
      </c>
      <c r="E270" s="3">
        <v>20</v>
      </c>
      <c r="F270" s="3">
        <v>2.5</v>
      </c>
      <c r="G270" s="3">
        <v>50</v>
      </c>
      <c r="H270" s="1" t="s">
        <v>510</v>
      </c>
    </row>
    <row r="271" spans="1:8" ht="15" thickBot="1" x14ac:dyDescent="0.35">
      <c r="A271" s="1" t="s">
        <v>270</v>
      </c>
      <c r="B271" s="2">
        <v>45927</v>
      </c>
      <c r="C271" s="1" t="s">
        <v>520</v>
      </c>
      <c r="D271" s="1" t="s">
        <v>516</v>
      </c>
      <c r="E271" s="3">
        <v>6</v>
      </c>
      <c r="F271" s="3">
        <v>18</v>
      </c>
      <c r="G271" s="3">
        <v>108</v>
      </c>
      <c r="H271" s="1" t="s">
        <v>512</v>
      </c>
    </row>
    <row r="272" spans="1:8" ht="15" thickBot="1" x14ac:dyDescent="0.35">
      <c r="A272" s="1" t="s">
        <v>271</v>
      </c>
      <c r="B272" s="2">
        <v>45928</v>
      </c>
      <c r="C272" s="1" t="s">
        <v>521</v>
      </c>
      <c r="D272" s="1" t="s">
        <v>519</v>
      </c>
      <c r="E272" s="3">
        <v>35</v>
      </c>
      <c r="F272" s="3">
        <v>1</v>
      </c>
      <c r="G272" s="3">
        <v>35</v>
      </c>
      <c r="H272" s="1" t="s">
        <v>514</v>
      </c>
    </row>
    <row r="273" spans="1:8" ht="15" thickBot="1" x14ac:dyDescent="0.35">
      <c r="A273" s="1" t="s">
        <v>272</v>
      </c>
      <c r="B273" s="2">
        <v>45929</v>
      </c>
      <c r="C273" s="1" t="s">
        <v>522</v>
      </c>
      <c r="D273" s="1" t="s">
        <v>523</v>
      </c>
      <c r="E273" s="3">
        <v>9</v>
      </c>
      <c r="F273" s="3">
        <v>6</v>
      </c>
      <c r="G273" s="3">
        <v>54</v>
      </c>
      <c r="H273" s="1" t="s">
        <v>517</v>
      </c>
    </row>
    <row r="274" spans="1:8" ht="15" thickBot="1" x14ac:dyDescent="0.35">
      <c r="A274" s="1" t="s">
        <v>273</v>
      </c>
      <c r="B274" s="2">
        <v>45930</v>
      </c>
      <c r="C274" s="1" t="s">
        <v>508</v>
      </c>
      <c r="D274" s="1" t="s">
        <v>509</v>
      </c>
      <c r="E274" s="3">
        <v>12</v>
      </c>
      <c r="F274" s="3">
        <v>5</v>
      </c>
      <c r="G274" s="3">
        <v>60</v>
      </c>
      <c r="H274" s="1" t="s">
        <v>510</v>
      </c>
    </row>
    <row r="275" spans="1:8" ht="15" thickBot="1" x14ac:dyDescent="0.35">
      <c r="A275" s="1" t="s">
        <v>274</v>
      </c>
      <c r="B275" s="2">
        <v>45931</v>
      </c>
      <c r="C275" s="1" t="s">
        <v>511</v>
      </c>
      <c r="D275" s="1" t="s">
        <v>509</v>
      </c>
      <c r="E275" s="3">
        <v>18</v>
      </c>
      <c r="F275" s="3">
        <v>4</v>
      </c>
      <c r="G275" s="3">
        <v>72</v>
      </c>
      <c r="H275" s="1" t="s">
        <v>512</v>
      </c>
    </row>
    <row r="276" spans="1:8" ht="27.6" thickBot="1" x14ac:dyDescent="0.35">
      <c r="A276" s="1" t="s">
        <v>275</v>
      </c>
      <c r="B276" s="2">
        <v>45932</v>
      </c>
      <c r="C276" s="1" t="s">
        <v>513</v>
      </c>
      <c r="D276" s="1" t="s">
        <v>509</v>
      </c>
      <c r="E276" s="3">
        <v>10</v>
      </c>
      <c r="F276" s="3">
        <v>5.5</v>
      </c>
      <c r="G276" s="3">
        <v>55</v>
      </c>
      <c r="H276" s="1" t="s">
        <v>514</v>
      </c>
    </row>
    <row r="277" spans="1:8" ht="15" thickBot="1" x14ac:dyDescent="0.35">
      <c r="A277" s="1" t="s">
        <v>276</v>
      </c>
      <c r="B277" s="2">
        <v>45933</v>
      </c>
      <c r="C277" s="1" t="s">
        <v>515</v>
      </c>
      <c r="D277" s="1" t="s">
        <v>516</v>
      </c>
      <c r="E277" s="3">
        <v>6</v>
      </c>
      <c r="F277" s="3">
        <v>20</v>
      </c>
      <c r="G277" s="3">
        <v>120</v>
      </c>
      <c r="H277" s="1" t="s">
        <v>517</v>
      </c>
    </row>
    <row r="278" spans="1:8" ht="27.6" thickBot="1" x14ac:dyDescent="0.35">
      <c r="A278" s="1" t="s">
        <v>277</v>
      </c>
      <c r="B278" s="2">
        <v>45934</v>
      </c>
      <c r="C278" s="1" t="s">
        <v>518</v>
      </c>
      <c r="D278" s="1" t="s">
        <v>519</v>
      </c>
      <c r="E278" s="3">
        <v>28</v>
      </c>
      <c r="F278" s="3">
        <v>2.5</v>
      </c>
      <c r="G278" s="3">
        <v>70</v>
      </c>
      <c r="H278" s="1" t="s">
        <v>510</v>
      </c>
    </row>
    <row r="279" spans="1:8" ht="15" thickBot="1" x14ac:dyDescent="0.35">
      <c r="A279" s="1" t="s">
        <v>278</v>
      </c>
      <c r="B279" s="2">
        <v>45935</v>
      </c>
      <c r="C279" s="1" t="s">
        <v>520</v>
      </c>
      <c r="D279" s="1" t="s">
        <v>516</v>
      </c>
      <c r="E279" s="3">
        <v>8</v>
      </c>
      <c r="F279" s="3">
        <v>18</v>
      </c>
      <c r="G279" s="3">
        <v>144</v>
      </c>
      <c r="H279" s="1" t="s">
        <v>512</v>
      </c>
    </row>
    <row r="280" spans="1:8" ht="15" thickBot="1" x14ac:dyDescent="0.35">
      <c r="A280" s="1" t="s">
        <v>279</v>
      </c>
      <c r="B280" s="2">
        <v>45936</v>
      </c>
      <c r="C280" s="1" t="s">
        <v>521</v>
      </c>
      <c r="D280" s="1" t="s">
        <v>519</v>
      </c>
      <c r="E280" s="3">
        <v>50</v>
      </c>
      <c r="F280" s="3">
        <v>1</v>
      </c>
      <c r="G280" s="3">
        <v>50</v>
      </c>
      <c r="H280" s="1" t="s">
        <v>514</v>
      </c>
    </row>
    <row r="281" spans="1:8" ht="15" thickBot="1" x14ac:dyDescent="0.35">
      <c r="A281" s="1" t="s">
        <v>280</v>
      </c>
      <c r="B281" s="2">
        <v>45937</v>
      </c>
      <c r="C281" s="1" t="s">
        <v>522</v>
      </c>
      <c r="D281" s="1" t="s">
        <v>523</v>
      </c>
      <c r="E281" s="3">
        <v>11</v>
      </c>
      <c r="F281" s="3">
        <v>6</v>
      </c>
      <c r="G281" s="3">
        <v>66</v>
      </c>
      <c r="H281" s="1" t="s">
        <v>517</v>
      </c>
    </row>
    <row r="282" spans="1:8" ht="15" thickBot="1" x14ac:dyDescent="0.35">
      <c r="A282" s="1" t="s">
        <v>281</v>
      </c>
      <c r="B282" s="2">
        <v>45938</v>
      </c>
      <c r="C282" s="1" t="s">
        <v>508</v>
      </c>
      <c r="D282" s="1" t="s">
        <v>509</v>
      </c>
      <c r="E282" s="3">
        <v>15</v>
      </c>
      <c r="F282" s="3">
        <v>5</v>
      </c>
      <c r="G282" s="3">
        <v>75</v>
      </c>
      <c r="H282" s="1" t="s">
        <v>510</v>
      </c>
    </row>
    <row r="283" spans="1:8" ht="15" thickBot="1" x14ac:dyDescent="0.35">
      <c r="A283" s="1" t="s">
        <v>282</v>
      </c>
      <c r="B283" s="2">
        <v>45939</v>
      </c>
      <c r="C283" s="1" t="s">
        <v>511</v>
      </c>
      <c r="D283" s="1" t="s">
        <v>509</v>
      </c>
      <c r="E283" s="3">
        <v>22</v>
      </c>
      <c r="F283" s="3">
        <v>4</v>
      </c>
      <c r="G283" s="3">
        <v>88</v>
      </c>
      <c r="H283" s="1" t="s">
        <v>512</v>
      </c>
    </row>
    <row r="284" spans="1:8" ht="27.6" thickBot="1" x14ac:dyDescent="0.35">
      <c r="A284" s="1" t="s">
        <v>283</v>
      </c>
      <c r="B284" s="2">
        <v>45940</v>
      </c>
      <c r="C284" s="1" t="s">
        <v>513</v>
      </c>
      <c r="D284" s="1" t="s">
        <v>509</v>
      </c>
      <c r="E284" s="3">
        <v>14</v>
      </c>
      <c r="F284" s="3">
        <v>5.5</v>
      </c>
      <c r="G284" s="3">
        <v>77</v>
      </c>
      <c r="H284" s="1" t="s">
        <v>514</v>
      </c>
    </row>
    <row r="285" spans="1:8" ht="15" thickBot="1" x14ac:dyDescent="0.35">
      <c r="A285" s="1" t="s">
        <v>284</v>
      </c>
      <c r="B285" s="2">
        <v>45941</v>
      </c>
      <c r="C285" s="1" t="s">
        <v>515</v>
      </c>
      <c r="D285" s="1" t="s">
        <v>516</v>
      </c>
      <c r="E285" s="3">
        <v>8</v>
      </c>
      <c r="F285" s="3">
        <v>20</v>
      </c>
      <c r="G285" s="3">
        <v>160</v>
      </c>
      <c r="H285" s="1" t="s">
        <v>517</v>
      </c>
    </row>
    <row r="286" spans="1:8" ht="27.6" thickBot="1" x14ac:dyDescent="0.35">
      <c r="A286" s="1" t="s">
        <v>285</v>
      </c>
      <c r="B286" s="2">
        <v>45942</v>
      </c>
      <c r="C286" s="1" t="s">
        <v>518</v>
      </c>
      <c r="D286" s="1" t="s">
        <v>519</v>
      </c>
      <c r="E286" s="3">
        <v>38</v>
      </c>
      <c r="F286" s="3">
        <v>2.5</v>
      </c>
      <c r="G286" s="3">
        <v>95</v>
      </c>
      <c r="H286" s="1" t="s">
        <v>510</v>
      </c>
    </row>
    <row r="287" spans="1:8" ht="15" thickBot="1" x14ac:dyDescent="0.35">
      <c r="A287" s="1" t="s">
        <v>286</v>
      </c>
      <c r="B287" s="2">
        <v>45943</v>
      </c>
      <c r="C287" s="1" t="s">
        <v>520</v>
      </c>
      <c r="D287" s="1" t="s">
        <v>516</v>
      </c>
      <c r="E287" s="3">
        <v>11</v>
      </c>
      <c r="F287" s="3">
        <v>18</v>
      </c>
      <c r="G287" s="3">
        <v>198</v>
      </c>
      <c r="H287" s="1" t="s">
        <v>512</v>
      </c>
    </row>
    <row r="288" spans="1:8" ht="15" thickBot="1" x14ac:dyDescent="0.35">
      <c r="A288" s="1" t="s">
        <v>287</v>
      </c>
      <c r="B288" s="2">
        <v>45944</v>
      </c>
      <c r="C288" s="1" t="s">
        <v>521</v>
      </c>
      <c r="D288" s="1" t="s">
        <v>519</v>
      </c>
      <c r="E288" s="3">
        <v>70</v>
      </c>
      <c r="F288" s="3">
        <v>1</v>
      </c>
      <c r="G288" s="3">
        <v>70</v>
      </c>
      <c r="H288" s="1" t="s">
        <v>514</v>
      </c>
    </row>
    <row r="289" spans="1:8" ht="15" thickBot="1" x14ac:dyDescent="0.35">
      <c r="A289" s="1" t="s">
        <v>288</v>
      </c>
      <c r="B289" s="2">
        <v>45945</v>
      </c>
      <c r="C289" s="1" t="s">
        <v>522</v>
      </c>
      <c r="D289" s="1" t="s">
        <v>523</v>
      </c>
      <c r="E289" s="3">
        <v>15</v>
      </c>
      <c r="F289" s="3">
        <v>6</v>
      </c>
      <c r="G289" s="3">
        <v>90</v>
      </c>
      <c r="H289" s="1" t="s">
        <v>517</v>
      </c>
    </row>
    <row r="290" spans="1:8" ht="15" thickBot="1" x14ac:dyDescent="0.35">
      <c r="A290" s="1" t="s">
        <v>289</v>
      </c>
      <c r="B290" s="2">
        <v>45946</v>
      </c>
      <c r="C290" s="1" t="s">
        <v>508</v>
      </c>
      <c r="D290" s="1" t="s">
        <v>509</v>
      </c>
      <c r="E290" s="3">
        <v>19</v>
      </c>
      <c r="F290" s="3">
        <v>5</v>
      </c>
      <c r="G290" s="3">
        <v>95</v>
      </c>
      <c r="H290" s="1" t="s">
        <v>510</v>
      </c>
    </row>
    <row r="291" spans="1:8" ht="15" thickBot="1" x14ac:dyDescent="0.35">
      <c r="A291" s="1" t="s">
        <v>290</v>
      </c>
      <c r="B291" s="2">
        <v>45947</v>
      </c>
      <c r="C291" s="1" t="s">
        <v>511</v>
      </c>
      <c r="D291" s="1" t="s">
        <v>509</v>
      </c>
      <c r="E291" s="3">
        <v>28</v>
      </c>
      <c r="F291" s="3">
        <v>4</v>
      </c>
      <c r="G291" s="3">
        <v>112</v>
      </c>
      <c r="H291" s="1" t="s">
        <v>512</v>
      </c>
    </row>
    <row r="292" spans="1:8" ht="27.6" thickBot="1" x14ac:dyDescent="0.35">
      <c r="A292" s="1" t="s">
        <v>291</v>
      </c>
      <c r="B292" s="2">
        <v>45948</v>
      </c>
      <c r="C292" s="1" t="s">
        <v>513</v>
      </c>
      <c r="D292" s="1" t="s">
        <v>509</v>
      </c>
      <c r="E292" s="3">
        <v>17</v>
      </c>
      <c r="F292" s="3">
        <v>5.5</v>
      </c>
      <c r="G292" s="3">
        <v>93.5</v>
      </c>
      <c r="H292" s="1" t="s">
        <v>514</v>
      </c>
    </row>
    <row r="293" spans="1:8" ht="15" thickBot="1" x14ac:dyDescent="0.35">
      <c r="A293" s="1" t="s">
        <v>292</v>
      </c>
      <c r="B293" s="2">
        <v>45949</v>
      </c>
      <c r="C293" s="1" t="s">
        <v>515</v>
      </c>
      <c r="D293" s="1" t="s">
        <v>516</v>
      </c>
      <c r="E293" s="3">
        <v>11</v>
      </c>
      <c r="F293" s="3">
        <v>20</v>
      </c>
      <c r="G293" s="3">
        <v>220</v>
      </c>
      <c r="H293" s="1" t="s">
        <v>517</v>
      </c>
    </row>
    <row r="294" spans="1:8" ht="27.6" thickBot="1" x14ac:dyDescent="0.35">
      <c r="A294" s="1" t="s">
        <v>293</v>
      </c>
      <c r="B294" s="2">
        <v>45950</v>
      </c>
      <c r="C294" s="1" t="s">
        <v>518</v>
      </c>
      <c r="D294" s="1" t="s">
        <v>519</v>
      </c>
      <c r="E294" s="3">
        <v>50</v>
      </c>
      <c r="F294" s="3">
        <v>2.5</v>
      </c>
      <c r="G294" s="3">
        <v>125</v>
      </c>
      <c r="H294" s="1" t="s">
        <v>510</v>
      </c>
    </row>
    <row r="295" spans="1:8" ht="15" thickBot="1" x14ac:dyDescent="0.35">
      <c r="A295" s="1" t="s">
        <v>294</v>
      </c>
      <c r="B295" s="2">
        <v>45951</v>
      </c>
      <c r="C295" s="1" t="s">
        <v>520</v>
      </c>
      <c r="D295" s="1" t="s">
        <v>516</v>
      </c>
      <c r="E295" s="3">
        <v>15</v>
      </c>
      <c r="F295" s="3">
        <v>18</v>
      </c>
      <c r="G295" s="3">
        <v>270</v>
      </c>
      <c r="H295" s="1" t="s">
        <v>512</v>
      </c>
    </row>
    <row r="296" spans="1:8" ht="15" thickBot="1" x14ac:dyDescent="0.35">
      <c r="A296" s="1" t="s">
        <v>295</v>
      </c>
      <c r="B296" s="2">
        <v>45952</v>
      </c>
      <c r="C296" s="1" t="s">
        <v>521</v>
      </c>
      <c r="D296" s="1" t="s">
        <v>519</v>
      </c>
      <c r="E296" s="3">
        <v>100</v>
      </c>
      <c r="F296" s="3">
        <v>1</v>
      </c>
      <c r="G296" s="3">
        <v>100</v>
      </c>
      <c r="H296" s="1" t="s">
        <v>514</v>
      </c>
    </row>
    <row r="297" spans="1:8" ht="15" thickBot="1" x14ac:dyDescent="0.35">
      <c r="A297" s="1" t="s">
        <v>296</v>
      </c>
      <c r="B297" s="2">
        <v>45953</v>
      </c>
      <c r="C297" s="1" t="s">
        <v>522</v>
      </c>
      <c r="D297" s="1" t="s">
        <v>523</v>
      </c>
      <c r="E297" s="3">
        <v>20</v>
      </c>
      <c r="F297" s="3">
        <v>6</v>
      </c>
      <c r="G297" s="3">
        <v>120</v>
      </c>
      <c r="H297" s="1" t="s">
        <v>517</v>
      </c>
    </row>
    <row r="298" spans="1:8" ht="15" thickBot="1" x14ac:dyDescent="0.35">
      <c r="A298" s="1" t="s">
        <v>297</v>
      </c>
      <c r="B298" s="2">
        <v>45954</v>
      </c>
      <c r="C298" s="1" t="s">
        <v>508</v>
      </c>
      <c r="D298" s="1" t="s">
        <v>509</v>
      </c>
      <c r="E298" s="3">
        <v>7</v>
      </c>
      <c r="F298" s="3">
        <v>5</v>
      </c>
      <c r="G298" s="3">
        <v>35</v>
      </c>
      <c r="H298" s="1" t="s">
        <v>510</v>
      </c>
    </row>
    <row r="299" spans="1:8" ht="15" thickBot="1" x14ac:dyDescent="0.35">
      <c r="A299" s="1" t="s">
        <v>298</v>
      </c>
      <c r="B299" s="2">
        <v>45955</v>
      </c>
      <c r="C299" s="1" t="s">
        <v>511</v>
      </c>
      <c r="D299" s="1" t="s">
        <v>509</v>
      </c>
      <c r="E299" s="3">
        <v>12</v>
      </c>
      <c r="F299" s="3">
        <v>4</v>
      </c>
      <c r="G299" s="3">
        <v>48</v>
      </c>
      <c r="H299" s="1" t="s">
        <v>512</v>
      </c>
    </row>
    <row r="300" spans="1:8" ht="27.6" thickBot="1" x14ac:dyDescent="0.35">
      <c r="A300" s="1" t="s">
        <v>299</v>
      </c>
      <c r="B300" s="2">
        <v>45956</v>
      </c>
      <c r="C300" s="1" t="s">
        <v>513</v>
      </c>
      <c r="D300" s="1" t="s">
        <v>509</v>
      </c>
      <c r="E300" s="3">
        <v>6</v>
      </c>
      <c r="F300" s="3">
        <v>5.5</v>
      </c>
      <c r="G300" s="3">
        <v>33</v>
      </c>
      <c r="H300" s="1" t="s">
        <v>514</v>
      </c>
    </row>
    <row r="301" spans="1:8" ht="15" thickBot="1" x14ac:dyDescent="0.35">
      <c r="A301" s="1" t="s">
        <v>300</v>
      </c>
      <c r="B301" s="2">
        <v>45957</v>
      </c>
      <c r="C301" s="1" t="s">
        <v>515</v>
      </c>
      <c r="D301" s="1" t="s">
        <v>516</v>
      </c>
      <c r="E301" s="3">
        <v>3</v>
      </c>
      <c r="F301" s="3">
        <v>20</v>
      </c>
      <c r="G301" s="3">
        <v>60</v>
      </c>
      <c r="H301" s="1" t="s">
        <v>517</v>
      </c>
    </row>
    <row r="302" spans="1:8" ht="27.6" thickBot="1" x14ac:dyDescent="0.35">
      <c r="A302" s="1" t="s">
        <v>301</v>
      </c>
      <c r="B302" s="2">
        <v>45958</v>
      </c>
      <c r="C302" s="1" t="s">
        <v>518</v>
      </c>
      <c r="D302" s="1" t="s">
        <v>519</v>
      </c>
      <c r="E302" s="3">
        <v>18</v>
      </c>
      <c r="F302" s="3">
        <v>2.5</v>
      </c>
      <c r="G302" s="3">
        <v>45</v>
      </c>
      <c r="H302" s="1" t="s">
        <v>510</v>
      </c>
    </row>
    <row r="303" spans="1:8" ht="15" thickBot="1" x14ac:dyDescent="0.35">
      <c r="A303" s="1" t="s">
        <v>302</v>
      </c>
      <c r="B303" s="2">
        <v>45959</v>
      </c>
      <c r="C303" s="1" t="s">
        <v>520</v>
      </c>
      <c r="D303" s="1" t="s">
        <v>516</v>
      </c>
      <c r="E303" s="3">
        <v>5</v>
      </c>
      <c r="F303" s="3">
        <v>18</v>
      </c>
      <c r="G303" s="3">
        <v>90</v>
      </c>
      <c r="H303" s="1" t="s">
        <v>512</v>
      </c>
    </row>
    <row r="304" spans="1:8" ht="15" thickBot="1" x14ac:dyDescent="0.35">
      <c r="A304" s="1" t="s">
        <v>303</v>
      </c>
      <c r="B304" s="2">
        <v>45960</v>
      </c>
      <c r="C304" s="1" t="s">
        <v>521</v>
      </c>
      <c r="D304" s="1" t="s">
        <v>519</v>
      </c>
      <c r="E304" s="3">
        <v>30</v>
      </c>
      <c r="F304" s="3">
        <v>1</v>
      </c>
      <c r="G304" s="3">
        <v>30</v>
      </c>
      <c r="H304" s="1" t="s">
        <v>514</v>
      </c>
    </row>
    <row r="305" spans="1:8" ht="15" thickBot="1" x14ac:dyDescent="0.35">
      <c r="A305" s="1" t="s">
        <v>304</v>
      </c>
      <c r="B305" s="2">
        <v>45961</v>
      </c>
      <c r="C305" s="1" t="s">
        <v>522</v>
      </c>
      <c r="D305" s="1" t="s">
        <v>523</v>
      </c>
      <c r="E305" s="3">
        <v>8</v>
      </c>
      <c r="F305" s="3">
        <v>6</v>
      </c>
      <c r="G305" s="3">
        <v>48</v>
      </c>
      <c r="H305" s="1" t="s">
        <v>517</v>
      </c>
    </row>
    <row r="306" spans="1:8" ht="15" thickBot="1" x14ac:dyDescent="0.35">
      <c r="A306" s="1" t="s">
        <v>305</v>
      </c>
      <c r="B306" s="2">
        <v>45962</v>
      </c>
      <c r="C306" s="1" t="s">
        <v>508</v>
      </c>
      <c r="D306" s="1" t="s">
        <v>509</v>
      </c>
      <c r="E306" s="3">
        <v>11</v>
      </c>
      <c r="F306" s="3">
        <v>5</v>
      </c>
      <c r="G306" s="3">
        <v>55</v>
      </c>
      <c r="H306" s="1" t="s">
        <v>510</v>
      </c>
    </row>
    <row r="307" spans="1:8" ht="15" thickBot="1" x14ac:dyDescent="0.35">
      <c r="A307" s="1" t="s">
        <v>306</v>
      </c>
      <c r="B307" s="2">
        <v>45963</v>
      </c>
      <c r="C307" s="1" t="s">
        <v>511</v>
      </c>
      <c r="D307" s="1" t="s">
        <v>509</v>
      </c>
      <c r="E307" s="3">
        <v>17</v>
      </c>
      <c r="F307" s="3">
        <v>4</v>
      </c>
      <c r="G307" s="3">
        <v>68</v>
      </c>
      <c r="H307" s="1" t="s">
        <v>512</v>
      </c>
    </row>
    <row r="308" spans="1:8" ht="27.6" thickBot="1" x14ac:dyDescent="0.35">
      <c r="A308" s="1" t="s">
        <v>307</v>
      </c>
      <c r="B308" s="2">
        <v>45964</v>
      </c>
      <c r="C308" s="1" t="s">
        <v>513</v>
      </c>
      <c r="D308" s="1" t="s">
        <v>509</v>
      </c>
      <c r="E308" s="3">
        <v>9</v>
      </c>
      <c r="F308" s="3">
        <v>5.5</v>
      </c>
      <c r="G308" s="3">
        <v>49.5</v>
      </c>
      <c r="H308" s="1" t="s">
        <v>514</v>
      </c>
    </row>
    <row r="309" spans="1:8" ht="15" thickBot="1" x14ac:dyDescent="0.35">
      <c r="A309" s="1" t="s">
        <v>308</v>
      </c>
      <c r="B309" s="2">
        <v>45965</v>
      </c>
      <c r="C309" s="1" t="s">
        <v>515</v>
      </c>
      <c r="D309" s="1" t="s">
        <v>516</v>
      </c>
      <c r="E309" s="3">
        <v>5</v>
      </c>
      <c r="F309" s="3">
        <v>20</v>
      </c>
      <c r="G309" s="3">
        <v>100</v>
      </c>
      <c r="H309" s="1" t="s">
        <v>517</v>
      </c>
    </row>
    <row r="310" spans="1:8" ht="27.6" thickBot="1" x14ac:dyDescent="0.35">
      <c r="A310" s="1" t="s">
        <v>309</v>
      </c>
      <c r="B310" s="2">
        <v>45966</v>
      </c>
      <c r="C310" s="1" t="s">
        <v>518</v>
      </c>
      <c r="D310" s="1" t="s">
        <v>519</v>
      </c>
      <c r="E310" s="3">
        <v>25</v>
      </c>
      <c r="F310" s="3">
        <v>2.5</v>
      </c>
      <c r="G310" s="3">
        <v>62.5</v>
      </c>
      <c r="H310" s="1" t="s">
        <v>510</v>
      </c>
    </row>
    <row r="311" spans="1:8" ht="15" thickBot="1" x14ac:dyDescent="0.35">
      <c r="A311" s="1" t="s">
        <v>310</v>
      </c>
      <c r="B311" s="2">
        <v>45967</v>
      </c>
      <c r="C311" s="1" t="s">
        <v>520</v>
      </c>
      <c r="D311" s="1" t="s">
        <v>516</v>
      </c>
      <c r="E311" s="3">
        <v>7</v>
      </c>
      <c r="F311" s="3">
        <v>18</v>
      </c>
      <c r="G311" s="3">
        <v>126</v>
      </c>
      <c r="H311" s="1" t="s">
        <v>512</v>
      </c>
    </row>
    <row r="312" spans="1:8" ht="15" thickBot="1" x14ac:dyDescent="0.35">
      <c r="A312" s="1" t="s">
        <v>311</v>
      </c>
      <c r="B312" s="2">
        <v>45968</v>
      </c>
      <c r="C312" s="1" t="s">
        <v>521</v>
      </c>
      <c r="D312" s="1" t="s">
        <v>519</v>
      </c>
      <c r="E312" s="3">
        <v>45</v>
      </c>
      <c r="F312" s="3">
        <v>1</v>
      </c>
      <c r="G312" s="3">
        <v>45</v>
      </c>
      <c r="H312" s="1" t="s">
        <v>514</v>
      </c>
    </row>
    <row r="313" spans="1:8" ht="15" thickBot="1" x14ac:dyDescent="0.35">
      <c r="A313" s="1" t="s">
        <v>312</v>
      </c>
      <c r="B313" s="2">
        <v>45969</v>
      </c>
      <c r="C313" s="1" t="s">
        <v>522</v>
      </c>
      <c r="D313" s="1" t="s">
        <v>523</v>
      </c>
      <c r="E313" s="3">
        <v>10</v>
      </c>
      <c r="F313" s="3">
        <v>6</v>
      </c>
      <c r="G313" s="3">
        <v>60</v>
      </c>
      <c r="H313" s="1" t="s">
        <v>517</v>
      </c>
    </row>
    <row r="314" spans="1:8" ht="15" thickBot="1" x14ac:dyDescent="0.35">
      <c r="A314" s="1" t="s">
        <v>313</v>
      </c>
      <c r="B314" s="2">
        <v>45970</v>
      </c>
      <c r="C314" s="1" t="s">
        <v>508</v>
      </c>
      <c r="D314" s="1" t="s">
        <v>509</v>
      </c>
      <c r="E314" s="3">
        <v>14</v>
      </c>
      <c r="F314" s="3">
        <v>5</v>
      </c>
      <c r="G314" s="3">
        <v>70</v>
      </c>
      <c r="H314" s="1" t="s">
        <v>510</v>
      </c>
    </row>
    <row r="315" spans="1:8" ht="15" thickBot="1" x14ac:dyDescent="0.35">
      <c r="A315" s="1" t="s">
        <v>314</v>
      </c>
      <c r="B315" s="2">
        <v>45971</v>
      </c>
      <c r="C315" s="1" t="s">
        <v>511</v>
      </c>
      <c r="D315" s="1" t="s">
        <v>509</v>
      </c>
      <c r="E315" s="3">
        <v>21</v>
      </c>
      <c r="F315" s="3">
        <v>4</v>
      </c>
      <c r="G315" s="3">
        <v>84</v>
      </c>
      <c r="H315" s="1" t="s">
        <v>512</v>
      </c>
    </row>
    <row r="316" spans="1:8" ht="27.6" thickBot="1" x14ac:dyDescent="0.35">
      <c r="A316" s="1" t="s">
        <v>315</v>
      </c>
      <c r="B316" s="2">
        <v>45972</v>
      </c>
      <c r="C316" s="1" t="s">
        <v>513</v>
      </c>
      <c r="D316" s="1" t="s">
        <v>509</v>
      </c>
      <c r="E316" s="3">
        <v>12</v>
      </c>
      <c r="F316" s="3">
        <v>5.5</v>
      </c>
      <c r="G316" s="3">
        <v>66</v>
      </c>
      <c r="H316" s="1" t="s">
        <v>514</v>
      </c>
    </row>
    <row r="317" spans="1:8" ht="15" thickBot="1" x14ac:dyDescent="0.35">
      <c r="A317" s="1" t="s">
        <v>316</v>
      </c>
      <c r="B317" s="2">
        <v>45973</v>
      </c>
      <c r="C317" s="1" t="s">
        <v>515</v>
      </c>
      <c r="D317" s="1" t="s">
        <v>516</v>
      </c>
      <c r="E317" s="3">
        <v>7</v>
      </c>
      <c r="F317" s="3">
        <v>20</v>
      </c>
      <c r="G317" s="3">
        <v>140</v>
      </c>
      <c r="H317" s="1" t="s">
        <v>517</v>
      </c>
    </row>
    <row r="318" spans="1:8" ht="27.6" thickBot="1" x14ac:dyDescent="0.35">
      <c r="A318" s="1" t="s">
        <v>317</v>
      </c>
      <c r="B318" s="2">
        <v>45974</v>
      </c>
      <c r="C318" s="1" t="s">
        <v>518</v>
      </c>
      <c r="D318" s="1" t="s">
        <v>519</v>
      </c>
      <c r="E318" s="3">
        <v>35</v>
      </c>
      <c r="F318" s="3">
        <v>2.5</v>
      </c>
      <c r="G318" s="3">
        <v>87.5</v>
      </c>
      <c r="H318" s="1" t="s">
        <v>510</v>
      </c>
    </row>
    <row r="319" spans="1:8" ht="15" thickBot="1" x14ac:dyDescent="0.35">
      <c r="A319" s="1" t="s">
        <v>318</v>
      </c>
      <c r="B319" s="2">
        <v>45975</v>
      </c>
      <c r="C319" s="1" t="s">
        <v>520</v>
      </c>
      <c r="D319" s="1" t="s">
        <v>516</v>
      </c>
      <c r="E319" s="3">
        <v>10</v>
      </c>
      <c r="F319" s="3">
        <v>18</v>
      </c>
      <c r="G319" s="3">
        <v>180</v>
      </c>
      <c r="H319" s="1" t="s">
        <v>512</v>
      </c>
    </row>
    <row r="320" spans="1:8" ht="15" thickBot="1" x14ac:dyDescent="0.35">
      <c r="A320" s="1" t="s">
        <v>319</v>
      </c>
      <c r="B320" s="2">
        <v>45976</v>
      </c>
      <c r="C320" s="1" t="s">
        <v>521</v>
      </c>
      <c r="D320" s="1" t="s">
        <v>519</v>
      </c>
      <c r="E320" s="3">
        <v>65</v>
      </c>
      <c r="F320" s="3">
        <v>1</v>
      </c>
      <c r="G320" s="3">
        <v>65</v>
      </c>
      <c r="H320" s="1" t="s">
        <v>514</v>
      </c>
    </row>
    <row r="321" spans="1:8" ht="15" thickBot="1" x14ac:dyDescent="0.35">
      <c r="A321" s="1" t="s">
        <v>320</v>
      </c>
      <c r="B321" s="2">
        <v>45977</v>
      </c>
      <c r="C321" s="1" t="s">
        <v>522</v>
      </c>
      <c r="D321" s="1" t="s">
        <v>523</v>
      </c>
      <c r="E321" s="3">
        <v>14</v>
      </c>
      <c r="F321" s="3">
        <v>6</v>
      </c>
      <c r="G321" s="3">
        <v>84</v>
      </c>
      <c r="H321" s="1" t="s">
        <v>517</v>
      </c>
    </row>
    <row r="322" spans="1:8" ht="15" thickBot="1" x14ac:dyDescent="0.35">
      <c r="A322" s="1" t="s">
        <v>321</v>
      </c>
      <c r="B322" s="2">
        <v>45978</v>
      </c>
      <c r="C322" s="1" t="s">
        <v>508</v>
      </c>
      <c r="D322" s="1" t="s">
        <v>509</v>
      </c>
      <c r="E322" s="3">
        <v>18</v>
      </c>
      <c r="F322" s="3">
        <v>5</v>
      </c>
      <c r="G322" s="3">
        <v>90</v>
      </c>
      <c r="H322" s="1" t="s">
        <v>510</v>
      </c>
    </row>
    <row r="323" spans="1:8" ht="15" thickBot="1" x14ac:dyDescent="0.35">
      <c r="A323" s="1" t="s">
        <v>322</v>
      </c>
      <c r="B323" s="2">
        <v>45979</v>
      </c>
      <c r="C323" s="1" t="s">
        <v>511</v>
      </c>
      <c r="D323" s="1" t="s">
        <v>509</v>
      </c>
      <c r="E323" s="3">
        <v>26</v>
      </c>
      <c r="F323" s="3">
        <v>4</v>
      </c>
      <c r="G323" s="3">
        <v>104</v>
      </c>
      <c r="H323" s="1" t="s">
        <v>512</v>
      </c>
    </row>
    <row r="324" spans="1:8" ht="27.6" thickBot="1" x14ac:dyDescent="0.35">
      <c r="A324" s="1" t="s">
        <v>323</v>
      </c>
      <c r="B324" s="2">
        <v>45980</v>
      </c>
      <c r="C324" s="1" t="s">
        <v>513</v>
      </c>
      <c r="D324" s="1" t="s">
        <v>509</v>
      </c>
      <c r="E324" s="3">
        <v>16</v>
      </c>
      <c r="F324" s="3">
        <v>5.5</v>
      </c>
      <c r="G324" s="3">
        <v>88</v>
      </c>
      <c r="H324" s="1" t="s">
        <v>514</v>
      </c>
    </row>
    <row r="325" spans="1:8" ht="15" thickBot="1" x14ac:dyDescent="0.35">
      <c r="A325" s="1" t="s">
        <v>324</v>
      </c>
      <c r="B325" s="2">
        <v>45981</v>
      </c>
      <c r="C325" s="1" t="s">
        <v>515</v>
      </c>
      <c r="D325" s="1" t="s">
        <v>516</v>
      </c>
      <c r="E325" s="3">
        <v>10</v>
      </c>
      <c r="F325" s="3">
        <v>20</v>
      </c>
      <c r="G325" s="3">
        <v>200</v>
      </c>
      <c r="H325" s="1" t="s">
        <v>517</v>
      </c>
    </row>
    <row r="326" spans="1:8" ht="27.6" thickBot="1" x14ac:dyDescent="0.35">
      <c r="A326" s="1" t="s">
        <v>325</v>
      </c>
      <c r="B326" s="2">
        <v>45982</v>
      </c>
      <c r="C326" s="1" t="s">
        <v>518</v>
      </c>
      <c r="D326" s="1" t="s">
        <v>519</v>
      </c>
      <c r="E326" s="3">
        <v>45</v>
      </c>
      <c r="F326" s="3">
        <v>2.5</v>
      </c>
      <c r="G326" s="3">
        <v>112.5</v>
      </c>
      <c r="H326" s="1" t="s">
        <v>510</v>
      </c>
    </row>
    <row r="327" spans="1:8" ht="15" thickBot="1" x14ac:dyDescent="0.35">
      <c r="A327" s="1" t="s">
        <v>326</v>
      </c>
      <c r="B327" s="2">
        <v>45983</v>
      </c>
      <c r="C327" s="1" t="s">
        <v>520</v>
      </c>
      <c r="D327" s="1" t="s">
        <v>516</v>
      </c>
      <c r="E327" s="3">
        <v>13</v>
      </c>
      <c r="F327" s="3">
        <v>18</v>
      </c>
      <c r="G327" s="3">
        <v>234</v>
      </c>
      <c r="H327" s="1" t="s">
        <v>512</v>
      </c>
    </row>
    <row r="328" spans="1:8" ht="15" thickBot="1" x14ac:dyDescent="0.35">
      <c r="A328" s="1" t="s">
        <v>327</v>
      </c>
      <c r="B328" s="2">
        <v>45984</v>
      </c>
      <c r="C328" s="1" t="s">
        <v>521</v>
      </c>
      <c r="D328" s="1" t="s">
        <v>519</v>
      </c>
      <c r="E328" s="3">
        <v>85</v>
      </c>
      <c r="F328" s="3">
        <v>1</v>
      </c>
      <c r="G328" s="3">
        <v>85</v>
      </c>
      <c r="H328" s="1" t="s">
        <v>514</v>
      </c>
    </row>
    <row r="329" spans="1:8" ht="15" thickBot="1" x14ac:dyDescent="0.35">
      <c r="A329" s="1" t="s">
        <v>328</v>
      </c>
      <c r="B329" s="2">
        <v>45985</v>
      </c>
      <c r="C329" s="1" t="s">
        <v>522</v>
      </c>
      <c r="D329" s="1" t="s">
        <v>523</v>
      </c>
      <c r="E329" s="3">
        <v>18</v>
      </c>
      <c r="F329" s="3">
        <v>6</v>
      </c>
      <c r="G329" s="3">
        <v>108</v>
      </c>
      <c r="H329" s="1" t="s">
        <v>517</v>
      </c>
    </row>
    <row r="330" spans="1:8" ht="15" thickBot="1" x14ac:dyDescent="0.35">
      <c r="A330" s="1" t="s">
        <v>329</v>
      </c>
      <c r="B330" s="2">
        <v>45986</v>
      </c>
      <c r="C330" s="1" t="s">
        <v>508</v>
      </c>
      <c r="D330" s="1" t="s">
        <v>509</v>
      </c>
      <c r="E330" s="3">
        <v>8</v>
      </c>
      <c r="F330" s="3">
        <v>5</v>
      </c>
      <c r="G330" s="3">
        <v>40</v>
      </c>
      <c r="H330" s="1" t="s">
        <v>510</v>
      </c>
    </row>
    <row r="331" spans="1:8" ht="15" thickBot="1" x14ac:dyDescent="0.35">
      <c r="A331" s="1" t="s">
        <v>330</v>
      </c>
      <c r="B331" s="2">
        <v>45987</v>
      </c>
      <c r="C331" s="1" t="s">
        <v>511</v>
      </c>
      <c r="D331" s="1" t="s">
        <v>509</v>
      </c>
      <c r="E331" s="3">
        <v>13</v>
      </c>
      <c r="F331" s="3">
        <v>4</v>
      </c>
      <c r="G331" s="3">
        <v>52</v>
      </c>
      <c r="H331" s="1" t="s">
        <v>512</v>
      </c>
    </row>
    <row r="332" spans="1:8" ht="27.6" thickBot="1" x14ac:dyDescent="0.35">
      <c r="A332" s="1" t="s">
        <v>331</v>
      </c>
      <c r="B332" s="2">
        <v>45988</v>
      </c>
      <c r="C332" s="1" t="s">
        <v>513</v>
      </c>
      <c r="D332" s="1" t="s">
        <v>509</v>
      </c>
      <c r="E332" s="3">
        <v>7</v>
      </c>
      <c r="F332" s="3">
        <v>5.5</v>
      </c>
      <c r="G332" s="3">
        <v>38.5</v>
      </c>
      <c r="H332" s="1" t="s">
        <v>514</v>
      </c>
    </row>
    <row r="333" spans="1:8" ht="15" thickBot="1" x14ac:dyDescent="0.35">
      <c r="A333" s="1" t="s">
        <v>332</v>
      </c>
      <c r="B333" s="2">
        <v>45989</v>
      </c>
      <c r="C333" s="1" t="s">
        <v>515</v>
      </c>
      <c r="D333" s="1" t="s">
        <v>516</v>
      </c>
      <c r="E333" s="3">
        <v>4</v>
      </c>
      <c r="F333" s="3">
        <v>20</v>
      </c>
      <c r="G333" s="3">
        <v>80</v>
      </c>
      <c r="H333" s="1" t="s">
        <v>517</v>
      </c>
    </row>
    <row r="334" spans="1:8" ht="27.6" thickBot="1" x14ac:dyDescent="0.35">
      <c r="A334" s="1" t="s">
        <v>333</v>
      </c>
      <c r="B334" s="2">
        <v>45990</v>
      </c>
      <c r="C334" s="1" t="s">
        <v>518</v>
      </c>
      <c r="D334" s="1" t="s">
        <v>519</v>
      </c>
      <c r="E334" s="3">
        <v>18</v>
      </c>
      <c r="F334" s="3">
        <v>2.5</v>
      </c>
      <c r="G334" s="3">
        <v>45</v>
      </c>
      <c r="H334" s="1" t="s">
        <v>510</v>
      </c>
    </row>
    <row r="335" spans="1:8" ht="15" thickBot="1" x14ac:dyDescent="0.35">
      <c r="A335" s="1" t="s">
        <v>334</v>
      </c>
      <c r="B335" s="2">
        <v>45991</v>
      </c>
      <c r="C335" s="1" t="s">
        <v>520</v>
      </c>
      <c r="D335" s="1" t="s">
        <v>516</v>
      </c>
      <c r="E335" s="3">
        <v>5</v>
      </c>
      <c r="F335" s="3">
        <v>18</v>
      </c>
      <c r="G335" s="3">
        <v>90</v>
      </c>
      <c r="H335" s="1" t="s">
        <v>512</v>
      </c>
    </row>
    <row r="336" spans="1:8" ht="15" thickBot="1" x14ac:dyDescent="0.35">
      <c r="A336" s="1" t="s">
        <v>335</v>
      </c>
      <c r="B336" s="2">
        <v>45992</v>
      </c>
      <c r="C336" s="1" t="s">
        <v>521</v>
      </c>
      <c r="D336" s="1" t="s">
        <v>519</v>
      </c>
      <c r="E336" s="3">
        <v>35</v>
      </c>
      <c r="F336" s="3">
        <v>1</v>
      </c>
      <c r="G336" s="3">
        <v>35</v>
      </c>
      <c r="H336" s="1" t="s">
        <v>514</v>
      </c>
    </row>
    <row r="337" spans="1:8" ht="15" thickBot="1" x14ac:dyDescent="0.35">
      <c r="A337" s="1" t="s">
        <v>336</v>
      </c>
      <c r="B337" s="2">
        <v>45993</v>
      </c>
      <c r="C337" s="1" t="s">
        <v>522</v>
      </c>
      <c r="D337" s="1" t="s">
        <v>523</v>
      </c>
      <c r="E337" s="3">
        <v>8</v>
      </c>
      <c r="F337" s="3">
        <v>6</v>
      </c>
      <c r="G337" s="3">
        <v>48</v>
      </c>
      <c r="H337" s="1" t="s">
        <v>517</v>
      </c>
    </row>
    <row r="338" spans="1:8" ht="15" thickBot="1" x14ac:dyDescent="0.35">
      <c r="A338" s="1" t="s">
        <v>337</v>
      </c>
      <c r="B338" s="2">
        <v>45994</v>
      </c>
      <c r="C338" s="1" t="s">
        <v>508</v>
      </c>
      <c r="D338" s="1" t="s">
        <v>509</v>
      </c>
      <c r="E338" s="3">
        <v>11</v>
      </c>
      <c r="F338" s="3">
        <v>5</v>
      </c>
      <c r="G338" s="3">
        <v>55</v>
      </c>
      <c r="H338" s="1" t="s">
        <v>510</v>
      </c>
    </row>
    <row r="339" spans="1:8" ht="15" thickBot="1" x14ac:dyDescent="0.35">
      <c r="A339" s="1" t="s">
        <v>338</v>
      </c>
      <c r="B339" s="2">
        <v>45995</v>
      </c>
      <c r="C339" s="1" t="s">
        <v>511</v>
      </c>
      <c r="D339" s="1" t="s">
        <v>509</v>
      </c>
      <c r="E339" s="3">
        <v>17</v>
      </c>
      <c r="F339" s="3">
        <v>4</v>
      </c>
      <c r="G339" s="3">
        <v>68</v>
      </c>
      <c r="H339" s="1" t="s">
        <v>512</v>
      </c>
    </row>
    <row r="340" spans="1:8" ht="27.6" thickBot="1" x14ac:dyDescent="0.35">
      <c r="A340" s="1" t="s">
        <v>339</v>
      </c>
      <c r="B340" s="2">
        <v>45996</v>
      </c>
      <c r="C340" s="1" t="s">
        <v>513</v>
      </c>
      <c r="D340" s="1" t="s">
        <v>509</v>
      </c>
      <c r="E340" s="3">
        <v>9</v>
      </c>
      <c r="F340" s="3">
        <v>5.5</v>
      </c>
      <c r="G340" s="3">
        <v>49.5</v>
      </c>
      <c r="H340" s="1" t="s">
        <v>514</v>
      </c>
    </row>
    <row r="341" spans="1:8" ht="15" thickBot="1" x14ac:dyDescent="0.35">
      <c r="A341" s="1" t="s">
        <v>340</v>
      </c>
      <c r="B341" s="2">
        <v>45997</v>
      </c>
      <c r="C341" s="1" t="s">
        <v>515</v>
      </c>
      <c r="D341" s="1" t="s">
        <v>516</v>
      </c>
      <c r="E341" s="3">
        <v>6</v>
      </c>
      <c r="F341" s="3">
        <v>20</v>
      </c>
      <c r="G341" s="3">
        <v>120</v>
      </c>
      <c r="H341" s="1" t="s">
        <v>517</v>
      </c>
    </row>
    <row r="342" spans="1:8" ht="27.6" thickBot="1" x14ac:dyDescent="0.35">
      <c r="A342" s="1" t="s">
        <v>341</v>
      </c>
      <c r="B342" s="2">
        <v>45998</v>
      </c>
      <c r="C342" s="1" t="s">
        <v>518</v>
      </c>
      <c r="D342" s="1" t="s">
        <v>519</v>
      </c>
      <c r="E342" s="3">
        <v>28</v>
      </c>
      <c r="F342" s="3">
        <v>2.5</v>
      </c>
      <c r="G342" s="3">
        <v>70</v>
      </c>
      <c r="H342" s="1" t="s">
        <v>510</v>
      </c>
    </row>
    <row r="343" spans="1:8" ht="15" thickBot="1" x14ac:dyDescent="0.35">
      <c r="A343" s="1" t="s">
        <v>342</v>
      </c>
      <c r="B343" s="2">
        <v>45999</v>
      </c>
      <c r="C343" s="1" t="s">
        <v>520</v>
      </c>
      <c r="D343" s="1" t="s">
        <v>516</v>
      </c>
      <c r="E343" s="3">
        <v>8</v>
      </c>
      <c r="F343" s="3">
        <v>18</v>
      </c>
      <c r="G343" s="3">
        <v>144</v>
      </c>
      <c r="H343" s="1" t="s">
        <v>512</v>
      </c>
    </row>
    <row r="344" spans="1:8" ht="15" thickBot="1" x14ac:dyDescent="0.35">
      <c r="A344" s="1" t="s">
        <v>343</v>
      </c>
      <c r="B344" s="2">
        <v>46000</v>
      </c>
      <c r="C344" s="1" t="s">
        <v>521</v>
      </c>
      <c r="D344" s="1" t="s">
        <v>519</v>
      </c>
      <c r="E344" s="3">
        <v>55</v>
      </c>
      <c r="F344" s="3">
        <v>1</v>
      </c>
      <c r="G344" s="3">
        <v>55</v>
      </c>
      <c r="H344" s="1" t="s">
        <v>514</v>
      </c>
    </row>
    <row r="345" spans="1:8" ht="15" thickBot="1" x14ac:dyDescent="0.35">
      <c r="A345" s="1" t="s">
        <v>344</v>
      </c>
      <c r="B345" s="2">
        <v>46001</v>
      </c>
      <c r="C345" s="1" t="s">
        <v>522</v>
      </c>
      <c r="D345" s="1" t="s">
        <v>523</v>
      </c>
      <c r="E345" s="3">
        <v>12</v>
      </c>
      <c r="F345" s="3">
        <v>6</v>
      </c>
      <c r="G345" s="3">
        <v>72</v>
      </c>
      <c r="H345" s="1" t="s">
        <v>517</v>
      </c>
    </row>
    <row r="346" spans="1:8" ht="15" thickBot="1" x14ac:dyDescent="0.35">
      <c r="A346" s="1" t="s">
        <v>345</v>
      </c>
      <c r="B346" s="2">
        <v>46002</v>
      </c>
      <c r="C346" s="1" t="s">
        <v>508</v>
      </c>
      <c r="D346" s="1" t="s">
        <v>509</v>
      </c>
      <c r="E346" s="3">
        <v>15</v>
      </c>
      <c r="F346" s="3">
        <v>5</v>
      </c>
      <c r="G346" s="3">
        <v>75</v>
      </c>
      <c r="H346" s="1" t="s">
        <v>510</v>
      </c>
    </row>
    <row r="347" spans="1:8" ht="15" thickBot="1" x14ac:dyDescent="0.35">
      <c r="A347" s="1" t="s">
        <v>346</v>
      </c>
      <c r="B347" s="2">
        <v>46003</v>
      </c>
      <c r="C347" s="1" t="s">
        <v>511</v>
      </c>
      <c r="D347" s="1" t="s">
        <v>509</v>
      </c>
      <c r="E347" s="3">
        <v>24</v>
      </c>
      <c r="F347" s="3">
        <v>4</v>
      </c>
      <c r="G347" s="3">
        <v>96</v>
      </c>
      <c r="H347" s="1" t="s">
        <v>512</v>
      </c>
    </row>
    <row r="348" spans="1:8" ht="27.6" thickBot="1" x14ac:dyDescent="0.35">
      <c r="A348" s="1" t="s">
        <v>347</v>
      </c>
      <c r="B348" s="2">
        <v>46004</v>
      </c>
      <c r="C348" s="1" t="s">
        <v>513</v>
      </c>
      <c r="D348" s="1" t="s">
        <v>509</v>
      </c>
      <c r="E348" s="3">
        <v>14</v>
      </c>
      <c r="F348" s="3">
        <v>5.5</v>
      </c>
      <c r="G348" s="3">
        <v>77</v>
      </c>
      <c r="H348" s="1" t="s">
        <v>514</v>
      </c>
    </row>
    <row r="349" spans="1:8" ht="15" thickBot="1" x14ac:dyDescent="0.35">
      <c r="A349" s="1" t="s">
        <v>348</v>
      </c>
      <c r="B349" s="2">
        <v>46005</v>
      </c>
      <c r="C349" s="1" t="s">
        <v>515</v>
      </c>
      <c r="D349" s="1" t="s">
        <v>516</v>
      </c>
      <c r="E349" s="3">
        <v>8</v>
      </c>
      <c r="F349" s="3">
        <v>20</v>
      </c>
      <c r="G349" s="3">
        <v>160</v>
      </c>
      <c r="H349" s="1" t="s">
        <v>517</v>
      </c>
    </row>
    <row r="350" spans="1:8" ht="27.6" thickBot="1" x14ac:dyDescent="0.35">
      <c r="A350" s="1" t="s">
        <v>349</v>
      </c>
      <c r="B350" s="2">
        <v>46006</v>
      </c>
      <c r="C350" s="1" t="s">
        <v>518</v>
      </c>
      <c r="D350" s="1" t="s">
        <v>519</v>
      </c>
      <c r="E350" s="3">
        <v>40</v>
      </c>
      <c r="F350" s="3">
        <v>2.5</v>
      </c>
      <c r="G350" s="3">
        <v>100</v>
      </c>
      <c r="H350" s="1" t="s">
        <v>510</v>
      </c>
    </row>
    <row r="351" spans="1:8" ht="15" thickBot="1" x14ac:dyDescent="0.35">
      <c r="A351" s="1" t="s">
        <v>350</v>
      </c>
      <c r="B351" s="2">
        <v>46007</v>
      </c>
      <c r="C351" s="1" t="s">
        <v>520</v>
      </c>
      <c r="D351" s="1" t="s">
        <v>516</v>
      </c>
      <c r="E351" s="3">
        <v>11</v>
      </c>
      <c r="F351" s="3">
        <v>18</v>
      </c>
      <c r="G351" s="3">
        <v>198</v>
      </c>
      <c r="H351" s="1" t="s">
        <v>512</v>
      </c>
    </row>
    <row r="352" spans="1:8" ht="15" thickBot="1" x14ac:dyDescent="0.35">
      <c r="A352" s="1" t="s">
        <v>351</v>
      </c>
      <c r="B352" s="2">
        <v>46008</v>
      </c>
      <c r="C352" s="1" t="s">
        <v>521</v>
      </c>
      <c r="D352" s="1" t="s">
        <v>519</v>
      </c>
      <c r="E352" s="3">
        <v>75</v>
      </c>
      <c r="F352" s="3">
        <v>1</v>
      </c>
      <c r="G352" s="3">
        <v>75</v>
      </c>
      <c r="H352" s="1" t="s">
        <v>514</v>
      </c>
    </row>
    <row r="353" spans="1:8" ht="15" thickBot="1" x14ac:dyDescent="0.35">
      <c r="A353" s="1" t="s">
        <v>352</v>
      </c>
      <c r="B353" s="2">
        <v>46009</v>
      </c>
      <c r="C353" s="1" t="s">
        <v>522</v>
      </c>
      <c r="D353" s="1" t="s">
        <v>523</v>
      </c>
      <c r="E353" s="3">
        <v>16</v>
      </c>
      <c r="F353" s="3">
        <v>6</v>
      </c>
      <c r="G353" s="3">
        <v>96</v>
      </c>
      <c r="H353" s="1" t="s">
        <v>517</v>
      </c>
    </row>
    <row r="354" spans="1:8" ht="15" thickBot="1" x14ac:dyDescent="0.35">
      <c r="A354" s="1" t="s">
        <v>353</v>
      </c>
      <c r="B354" s="2">
        <v>46010</v>
      </c>
      <c r="C354" s="1" t="s">
        <v>508</v>
      </c>
      <c r="D354" s="1" t="s">
        <v>509</v>
      </c>
      <c r="E354" s="3">
        <v>20</v>
      </c>
      <c r="F354" s="3">
        <v>5</v>
      </c>
      <c r="G354" s="3">
        <v>100</v>
      </c>
      <c r="H354" s="1" t="s">
        <v>510</v>
      </c>
    </row>
    <row r="355" spans="1:8" ht="15" thickBot="1" x14ac:dyDescent="0.35">
      <c r="A355" s="1" t="s">
        <v>354</v>
      </c>
      <c r="B355" s="2">
        <v>46011</v>
      </c>
      <c r="C355" s="1" t="s">
        <v>511</v>
      </c>
      <c r="D355" s="1" t="s">
        <v>509</v>
      </c>
      <c r="E355" s="3">
        <v>30</v>
      </c>
      <c r="F355" s="3">
        <v>4</v>
      </c>
      <c r="G355" s="3">
        <v>120</v>
      </c>
      <c r="H355" s="1" t="s">
        <v>512</v>
      </c>
    </row>
    <row r="356" spans="1:8" ht="27.6" thickBot="1" x14ac:dyDescent="0.35">
      <c r="A356" s="1" t="s">
        <v>355</v>
      </c>
      <c r="B356" s="2">
        <v>46012</v>
      </c>
      <c r="C356" s="1" t="s">
        <v>513</v>
      </c>
      <c r="D356" s="1" t="s">
        <v>509</v>
      </c>
      <c r="E356" s="3">
        <v>18</v>
      </c>
      <c r="F356" s="3">
        <v>5.5</v>
      </c>
      <c r="G356" s="3">
        <v>99</v>
      </c>
      <c r="H356" s="1" t="s">
        <v>514</v>
      </c>
    </row>
    <row r="357" spans="1:8" ht="15" thickBot="1" x14ac:dyDescent="0.35">
      <c r="A357" s="1" t="s">
        <v>356</v>
      </c>
      <c r="B357" s="2">
        <v>46013</v>
      </c>
      <c r="C357" s="1" t="s">
        <v>515</v>
      </c>
      <c r="D357" s="1" t="s">
        <v>516</v>
      </c>
      <c r="E357" s="3">
        <v>12</v>
      </c>
      <c r="F357" s="3">
        <v>20</v>
      </c>
      <c r="G357" s="3">
        <v>240</v>
      </c>
      <c r="H357" s="1" t="s">
        <v>517</v>
      </c>
    </row>
    <row r="358" spans="1:8" ht="27.6" thickBot="1" x14ac:dyDescent="0.35">
      <c r="A358" s="1" t="s">
        <v>357</v>
      </c>
      <c r="B358" s="2">
        <v>46014</v>
      </c>
      <c r="C358" s="1" t="s">
        <v>518</v>
      </c>
      <c r="D358" s="1" t="s">
        <v>519</v>
      </c>
      <c r="E358" s="3">
        <v>55</v>
      </c>
      <c r="F358" s="3">
        <v>2.5</v>
      </c>
      <c r="G358" s="3">
        <v>137.5</v>
      </c>
      <c r="H358" s="1" t="s">
        <v>510</v>
      </c>
    </row>
    <row r="359" spans="1:8" ht="15" thickBot="1" x14ac:dyDescent="0.35">
      <c r="A359" s="1" t="s">
        <v>358</v>
      </c>
      <c r="B359" s="2">
        <v>46015</v>
      </c>
      <c r="C359" s="1" t="s">
        <v>520</v>
      </c>
      <c r="D359" s="1" t="s">
        <v>516</v>
      </c>
      <c r="E359" s="3">
        <v>16</v>
      </c>
      <c r="F359" s="3">
        <v>18</v>
      </c>
      <c r="G359" s="3">
        <v>288</v>
      </c>
      <c r="H359" s="1" t="s">
        <v>512</v>
      </c>
    </row>
    <row r="360" spans="1:8" ht="15" thickBot="1" x14ac:dyDescent="0.35">
      <c r="A360" s="1" t="s">
        <v>359</v>
      </c>
      <c r="B360" s="2">
        <v>46016</v>
      </c>
      <c r="C360" s="1" t="s">
        <v>521</v>
      </c>
      <c r="D360" s="1" t="s">
        <v>519</v>
      </c>
      <c r="E360" s="3">
        <v>120</v>
      </c>
      <c r="F360" s="3">
        <v>1</v>
      </c>
      <c r="G360" s="3">
        <v>120</v>
      </c>
      <c r="H360" s="1" t="s">
        <v>514</v>
      </c>
    </row>
    <row r="361" spans="1:8" ht="15" thickBot="1" x14ac:dyDescent="0.35">
      <c r="A361" s="1" t="s">
        <v>360</v>
      </c>
      <c r="B361" s="2">
        <v>46017</v>
      </c>
      <c r="C361" s="1" t="s">
        <v>522</v>
      </c>
      <c r="D361" s="1" t="s">
        <v>523</v>
      </c>
      <c r="E361" s="3">
        <v>22</v>
      </c>
      <c r="F361" s="3">
        <v>6</v>
      </c>
      <c r="G361" s="3">
        <v>132</v>
      </c>
      <c r="H361" s="1" t="s">
        <v>517</v>
      </c>
    </row>
    <row r="362" spans="1:8" ht="15" thickBot="1" x14ac:dyDescent="0.35">
      <c r="A362" s="1" t="s">
        <v>361</v>
      </c>
      <c r="B362" s="2">
        <v>46018</v>
      </c>
      <c r="C362" s="1" t="s">
        <v>508</v>
      </c>
      <c r="D362" s="1" t="s">
        <v>509</v>
      </c>
      <c r="E362" s="3">
        <v>8</v>
      </c>
      <c r="F362" s="3">
        <v>5</v>
      </c>
      <c r="G362" s="3">
        <v>40</v>
      </c>
      <c r="H362" s="1" t="s">
        <v>510</v>
      </c>
    </row>
    <row r="363" spans="1:8" ht="15" thickBot="1" x14ac:dyDescent="0.35">
      <c r="A363" s="1" t="s">
        <v>362</v>
      </c>
      <c r="B363" s="2">
        <v>46019</v>
      </c>
      <c r="C363" s="1" t="s">
        <v>511</v>
      </c>
      <c r="D363" s="1" t="s">
        <v>509</v>
      </c>
      <c r="E363" s="3">
        <v>14</v>
      </c>
      <c r="F363" s="3">
        <v>4</v>
      </c>
      <c r="G363" s="3">
        <v>56</v>
      </c>
      <c r="H363" s="1" t="s">
        <v>512</v>
      </c>
    </row>
    <row r="364" spans="1:8" ht="27.6" thickBot="1" x14ac:dyDescent="0.35">
      <c r="A364" s="1" t="s">
        <v>363</v>
      </c>
      <c r="B364" s="2">
        <v>46020</v>
      </c>
      <c r="C364" s="1" t="s">
        <v>513</v>
      </c>
      <c r="D364" s="1" t="s">
        <v>509</v>
      </c>
      <c r="E364" s="3">
        <v>7</v>
      </c>
      <c r="F364" s="3">
        <v>5.5</v>
      </c>
      <c r="G364" s="3">
        <v>38.5</v>
      </c>
      <c r="H364" s="1" t="s">
        <v>514</v>
      </c>
    </row>
    <row r="365" spans="1:8" ht="15" thickBot="1" x14ac:dyDescent="0.35">
      <c r="A365" s="1" t="s">
        <v>364</v>
      </c>
      <c r="B365" s="2">
        <v>46021</v>
      </c>
      <c r="C365" s="1" t="s">
        <v>515</v>
      </c>
      <c r="D365" s="1" t="s">
        <v>516</v>
      </c>
      <c r="E365" s="3">
        <v>4</v>
      </c>
      <c r="F365" s="3">
        <v>20</v>
      </c>
      <c r="G365" s="3">
        <v>80</v>
      </c>
      <c r="H365" s="1" t="s">
        <v>517</v>
      </c>
    </row>
    <row r="366" spans="1:8" ht="27.6" thickBot="1" x14ac:dyDescent="0.35">
      <c r="A366" s="1" t="s">
        <v>365</v>
      </c>
      <c r="B366" s="2">
        <v>46022</v>
      </c>
      <c r="C366" s="1" t="s">
        <v>518</v>
      </c>
      <c r="D366" s="1" t="s">
        <v>519</v>
      </c>
      <c r="E366" s="3">
        <v>18</v>
      </c>
      <c r="F366" s="3">
        <v>2.5</v>
      </c>
      <c r="G366" s="3">
        <v>45</v>
      </c>
      <c r="H366" s="1" t="s">
        <v>510</v>
      </c>
    </row>
    <row r="367" spans="1:8" ht="15" thickBot="1" x14ac:dyDescent="0.35">
      <c r="A367" s="1" t="s">
        <v>366</v>
      </c>
      <c r="B367" s="2">
        <v>46023</v>
      </c>
      <c r="C367" s="1" t="s">
        <v>520</v>
      </c>
      <c r="D367" s="1" t="s">
        <v>516</v>
      </c>
      <c r="E367" s="3">
        <v>5</v>
      </c>
      <c r="F367" s="3">
        <v>18</v>
      </c>
      <c r="G367" s="3">
        <v>90</v>
      </c>
      <c r="H367" s="1" t="s">
        <v>512</v>
      </c>
    </row>
    <row r="368" spans="1:8" ht="15" thickBot="1" x14ac:dyDescent="0.35">
      <c r="A368" s="1" t="s">
        <v>367</v>
      </c>
      <c r="B368" s="2">
        <v>46024</v>
      </c>
      <c r="C368" s="1" t="s">
        <v>521</v>
      </c>
      <c r="D368" s="1" t="s">
        <v>519</v>
      </c>
      <c r="E368" s="3">
        <v>30</v>
      </c>
      <c r="F368" s="3">
        <v>1</v>
      </c>
      <c r="G368" s="3">
        <v>30</v>
      </c>
      <c r="H368" s="1" t="s">
        <v>514</v>
      </c>
    </row>
    <row r="369" spans="1:8" ht="15" thickBot="1" x14ac:dyDescent="0.35">
      <c r="A369" s="1" t="s">
        <v>368</v>
      </c>
      <c r="B369" s="2">
        <v>46025</v>
      </c>
      <c r="C369" s="1" t="s">
        <v>522</v>
      </c>
      <c r="D369" s="1" t="s">
        <v>523</v>
      </c>
      <c r="E369" s="3">
        <v>7</v>
      </c>
      <c r="F369" s="3">
        <v>6</v>
      </c>
      <c r="G369" s="3">
        <v>42</v>
      </c>
      <c r="H369" s="1" t="s">
        <v>517</v>
      </c>
    </row>
    <row r="370" spans="1:8" ht="15" thickBot="1" x14ac:dyDescent="0.35">
      <c r="A370" s="1" t="s">
        <v>369</v>
      </c>
      <c r="B370" s="2">
        <v>46026</v>
      </c>
      <c r="C370" s="1" t="s">
        <v>508</v>
      </c>
      <c r="D370" s="1" t="s">
        <v>509</v>
      </c>
      <c r="E370" s="3">
        <v>11</v>
      </c>
      <c r="F370" s="3">
        <v>5</v>
      </c>
      <c r="G370" s="3">
        <v>55</v>
      </c>
      <c r="H370" s="1" t="s">
        <v>510</v>
      </c>
    </row>
    <row r="371" spans="1:8" ht="15" thickBot="1" x14ac:dyDescent="0.35">
      <c r="A371" s="1" t="s">
        <v>370</v>
      </c>
      <c r="B371" s="2">
        <v>46027</v>
      </c>
      <c r="C371" s="1" t="s">
        <v>511</v>
      </c>
      <c r="D371" s="1" t="s">
        <v>509</v>
      </c>
      <c r="E371" s="3">
        <v>17</v>
      </c>
      <c r="F371" s="3">
        <v>4</v>
      </c>
      <c r="G371" s="3">
        <v>68</v>
      </c>
      <c r="H371" s="1" t="s">
        <v>512</v>
      </c>
    </row>
    <row r="372" spans="1:8" ht="27.6" thickBot="1" x14ac:dyDescent="0.35">
      <c r="A372" s="1" t="s">
        <v>371</v>
      </c>
      <c r="B372" s="2">
        <v>46028</v>
      </c>
      <c r="C372" s="1" t="s">
        <v>513</v>
      </c>
      <c r="D372" s="1" t="s">
        <v>509</v>
      </c>
      <c r="E372" s="3">
        <v>9</v>
      </c>
      <c r="F372" s="3">
        <v>5.5</v>
      </c>
      <c r="G372" s="3">
        <v>49.5</v>
      </c>
      <c r="H372" s="1" t="s">
        <v>514</v>
      </c>
    </row>
    <row r="373" spans="1:8" ht="15" thickBot="1" x14ac:dyDescent="0.35">
      <c r="A373" s="1" t="s">
        <v>372</v>
      </c>
      <c r="B373" s="2">
        <v>46029</v>
      </c>
      <c r="C373" s="1" t="s">
        <v>515</v>
      </c>
      <c r="D373" s="1" t="s">
        <v>516</v>
      </c>
      <c r="E373" s="3">
        <v>5</v>
      </c>
      <c r="F373" s="3">
        <v>20</v>
      </c>
      <c r="G373" s="3">
        <v>100</v>
      </c>
      <c r="H373" s="1" t="s">
        <v>517</v>
      </c>
    </row>
    <row r="374" spans="1:8" ht="27.6" thickBot="1" x14ac:dyDescent="0.35">
      <c r="A374" s="1" t="s">
        <v>373</v>
      </c>
      <c r="B374" s="2">
        <v>46030</v>
      </c>
      <c r="C374" s="1" t="s">
        <v>518</v>
      </c>
      <c r="D374" s="1" t="s">
        <v>519</v>
      </c>
      <c r="E374" s="3">
        <v>25</v>
      </c>
      <c r="F374" s="3">
        <v>2.5</v>
      </c>
      <c r="G374" s="3">
        <v>62.5</v>
      </c>
      <c r="H374" s="1" t="s">
        <v>510</v>
      </c>
    </row>
    <row r="375" spans="1:8" ht="15" thickBot="1" x14ac:dyDescent="0.35">
      <c r="A375" s="1" t="s">
        <v>374</v>
      </c>
      <c r="B375" s="2">
        <v>46031</v>
      </c>
      <c r="C375" s="1" t="s">
        <v>520</v>
      </c>
      <c r="D375" s="1" t="s">
        <v>516</v>
      </c>
      <c r="E375" s="3">
        <v>8</v>
      </c>
      <c r="F375" s="3">
        <v>18</v>
      </c>
      <c r="G375" s="3">
        <v>144</v>
      </c>
      <c r="H375" s="1" t="s">
        <v>512</v>
      </c>
    </row>
    <row r="376" spans="1:8" ht="15" thickBot="1" x14ac:dyDescent="0.35">
      <c r="A376" s="1" t="s">
        <v>375</v>
      </c>
      <c r="B376" s="2">
        <v>46032</v>
      </c>
      <c r="C376" s="1" t="s">
        <v>521</v>
      </c>
      <c r="D376" s="1" t="s">
        <v>519</v>
      </c>
      <c r="E376" s="3">
        <v>45</v>
      </c>
      <c r="F376" s="3">
        <v>1</v>
      </c>
      <c r="G376" s="3">
        <v>45</v>
      </c>
      <c r="H376" s="1" t="s">
        <v>514</v>
      </c>
    </row>
    <row r="377" spans="1:8" ht="15" thickBot="1" x14ac:dyDescent="0.35">
      <c r="A377" s="1" t="s">
        <v>376</v>
      </c>
      <c r="B377" s="2">
        <v>46033</v>
      </c>
      <c r="C377" s="1" t="s">
        <v>522</v>
      </c>
      <c r="D377" s="1" t="s">
        <v>523</v>
      </c>
      <c r="E377" s="3">
        <v>10</v>
      </c>
      <c r="F377" s="3">
        <v>6</v>
      </c>
      <c r="G377" s="3">
        <v>60</v>
      </c>
      <c r="H377" s="1" t="s">
        <v>517</v>
      </c>
    </row>
    <row r="378" spans="1:8" ht="15" thickBot="1" x14ac:dyDescent="0.35">
      <c r="A378" s="1" t="s">
        <v>377</v>
      </c>
      <c r="B378" s="2">
        <v>46034</v>
      </c>
      <c r="C378" s="1" t="s">
        <v>508</v>
      </c>
      <c r="D378" s="1" t="s">
        <v>509</v>
      </c>
      <c r="E378" s="3">
        <v>14</v>
      </c>
      <c r="F378" s="3">
        <v>5</v>
      </c>
      <c r="G378" s="3">
        <v>70</v>
      </c>
      <c r="H378" s="1" t="s">
        <v>510</v>
      </c>
    </row>
    <row r="379" spans="1:8" ht="15" thickBot="1" x14ac:dyDescent="0.35">
      <c r="A379" s="1" t="s">
        <v>378</v>
      </c>
      <c r="B379" s="2">
        <v>46035</v>
      </c>
      <c r="C379" s="1" t="s">
        <v>511</v>
      </c>
      <c r="D379" s="1" t="s">
        <v>509</v>
      </c>
      <c r="E379" s="3">
        <v>21</v>
      </c>
      <c r="F379" s="3">
        <v>4</v>
      </c>
      <c r="G379" s="3">
        <v>84</v>
      </c>
      <c r="H379" s="1" t="s">
        <v>512</v>
      </c>
    </row>
    <row r="380" spans="1:8" ht="27.6" thickBot="1" x14ac:dyDescent="0.35">
      <c r="A380" s="1" t="s">
        <v>379</v>
      </c>
      <c r="B380" s="2">
        <v>46036</v>
      </c>
      <c r="C380" s="1" t="s">
        <v>513</v>
      </c>
      <c r="D380" s="1" t="s">
        <v>509</v>
      </c>
      <c r="E380" s="3">
        <v>12</v>
      </c>
      <c r="F380" s="3">
        <v>5.5</v>
      </c>
      <c r="G380" s="3">
        <v>66</v>
      </c>
      <c r="H380" s="1" t="s">
        <v>514</v>
      </c>
    </row>
    <row r="381" spans="1:8" ht="15" thickBot="1" x14ac:dyDescent="0.35">
      <c r="A381" s="1" t="s">
        <v>380</v>
      </c>
      <c r="B381" s="2">
        <v>46037</v>
      </c>
      <c r="C381" s="1" t="s">
        <v>515</v>
      </c>
      <c r="D381" s="1" t="s">
        <v>516</v>
      </c>
      <c r="E381" s="3">
        <v>7</v>
      </c>
      <c r="F381" s="3">
        <v>20</v>
      </c>
      <c r="G381" s="3">
        <v>140</v>
      </c>
      <c r="H381" s="1" t="s">
        <v>517</v>
      </c>
    </row>
    <row r="382" spans="1:8" ht="27.6" thickBot="1" x14ac:dyDescent="0.35">
      <c r="A382" s="1" t="s">
        <v>381</v>
      </c>
      <c r="B382" s="2">
        <v>46038</v>
      </c>
      <c r="C382" s="1" t="s">
        <v>518</v>
      </c>
      <c r="D382" s="1" t="s">
        <v>519</v>
      </c>
      <c r="E382" s="3">
        <v>35</v>
      </c>
      <c r="F382" s="3">
        <v>2.5</v>
      </c>
      <c r="G382" s="3">
        <v>87.5</v>
      </c>
      <c r="H382" s="1" t="s">
        <v>510</v>
      </c>
    </row>
    <row r="383" spans="1:8" ht="15" thickBot="1" x14ac:dyDescent="0.35">
      <c r="A383" s="1" t="s">
        <v>382</v>
      </c>
      <c r="B383" s="2">
        <v>46039</v>
      </c>
      <c r="C383" s="1" t="s">
        <v>520</v>
      </c>
      <c r="D383" s="1" t="s">
        <v>516</v>
      </c>
      <c r="E383" s="3">
        <v>10</v>
      </c>
      <c r="F383" s="3">
        <v>18</v>
      </c>
      <c r="G383" s="3">
        <v>180</v>
      </c>
      <c r="H383" s="1" t="s">
        <v>512</v>
      </c>
    </row>
    <row r="384" spans="1:8" ht="15" thickBot="1" x14ac:dyDescent="0.35">
      <c r="A384" s="1" t="s">
        <v>383</v>
      </c>
      <c r="B384" s="2">
        <v>46040</v>
      </c>
      <c r="C384" s="1" t="s">
        <v>521</v>
      </c>
      <c r="D384" s="1" t="s">
        <v>519</v>
      </c>
      <c r="E384" s="3">
        <v>65</v>
      </c>
      <c r="F384" s="3">
        <v>1</v>
      </c>
      <c r="G384" s="3">
        <v>65</v>
      </c>
      <c r="H384" s="1" t="s">
        <v>514</v>
      </c>
    </row>
    <row r="385" spans="1:8" ht="15" thickBot="1" x14ac:dyDescent="0.35">
      <c r="A385" s="1" t="s">
        <v>384</v>
      </c>
      <c r="B385" s="2">
        <v>46041</v>
      </c>
      <c r="C385" s="1" t="s">
        <v>522</v>
      </c>
      <c r="D385" s="1" t="s">
        <v>523</v>
      </c>
      <c r="E385" s="3">
        <v>14</v>
      </c>
      <c r="F385" s="3">
        <v>6</v>
      </c>
      <c r="G385" s="3">
        <v>84</v>
      </c>
      <c r="H385" s="1" t="s">
        <v>517</v>
      </c>
    </row>
    <row r="386" spans="1:8" ht="15" thickBot="1" x14ac:dyDescent="0.35">
      <c r="A386" s="1" t="s">
        <v>385</v>
      </c>
      <c r="B386" s="2">
        <v>46042</v>
      </c>
      <c r="C386" s="1" t="s">
        <v>508</v>
      </c>
      <c r="D386" s="1" t="s">
        <v>509</v>
      </c>
      <c r="E386" s="3">
        <v>18</v>
      </c>
      <c r="F386" s="3">
        <v>5</v>
      </c>
      <c r="G386" s="3">
        <v>90</v>
      </c>
      <c r="H386" s="1" t="s">
        <v>510</v>
      </c>
    </row>
    <row r="387" spans="1:8" ht="15" thickBot="1" x14ac:dyDescent="0.35">
      <c r="A387" s="1" t="s">
        <v>386</v>
      </c>
      <c r="B387" s="2">
        <v>46043</v>
      </c>
      <c r="C387" s="1" t="s">
        <v>511</v>
      </c>
      <c r="D387" s="1" t="s">
        <v>509</v>
      </c>
      <c r="E387" s="3">
        <v>26</v>
      </c>
      <c r="F387" s="3">
        <v>4</v>
      </c>
      <c r="G387" s="3">
        <v>104</v>
      </c>
      <c r="H387" s="1" t="s">
        <v>512</v>
      </c>
    </row>
    <row r="388" spans="1:8" ht="27.6" thickBot="1" x14ac:dyDescent="0.35">
      <c r="A388" s="1" t="s">
        <v>387</v>
      </c>
      <c r="B388" s="2">
        <v>46044</v>
      </c>
      <c r="C388" s="1" t="s">
        <v>513</v>
      </c>
      <c r="D388" s="1" t="s">
        <v>509</v>
      </c>
      <c r="E388" s="3">
        <v>16</v>
      </c>
      <c r="F388" s="3">
        <v>5.5</v>
      </c>
      <c r="G388" s="3">
        <v>88</v>
      </c>
      <c r="H388" s="1" t="s">
        <v>514</v>
      </c>
    </row>
    <row r="389" spans="1:8" ht="15" thickBot="1" x14ac:dyDescent="0.35">
      <c r="A389" s="1" t="s">
        <v>388</v>
      </c>
      <c r="B389" s="2">
        <v>46045</v>
      </c>
      <c r="C389" s="1" t="s">
        <v>515</v>
      </c>
      <c r="D389" s="1" t="s">
        <v>516</v>
      </c>
      <c r="E389" s="3">
        <v>10</v>
      </c>
      <c r="F389" s="3">
        <v>20</v>
      </c>
      <c r="G389" s="3">
        <v>200</v>
      </c>
      <c r="H389" s="1" t="s">
        <v>517</v>
      </c>
    </row>
    <row r="390" spans="1:8" ht="27.6" thickBot="1" x14ac:dyDescent="0.35">
      <c r="A390" s="1" t="s">
        <v>389</v>
      </c>
      <c r="B390" s="2">
        <v>46046</v>
      </c>
      <c r="C390" s="1" t="s">
        <v>518</v>
      </c>
      <c r="D390" s="1" t="s">
        <v>519</v>
      </c>
      <c r="E390" s="3">
        <v>45</v>
      </c>
      <c r="F390" s="3">
        <v>2.5</v>
      </c>
      <c r="G390" s="3">
        <v>112.5</v>
      </c>
      <c r="H390" s="1" t="s">
        <v>510</v>
      </c>
    </row>
    <row r="391" spans="1:8" ht="15" thickBot="1" x14ac:dyDescent="0.35">
      <c r="A391" s="1" t="s">
        <v>390</v>
      </c>
      <c r="B391" s="2">
        <v>46047</v>
      </c>
      <c r="C391" s="1" t="s">
        <v>520</v>
      </c>
      <c r="D391" s="1" t="s">
        <v>516</v>
      </c>
      <c r="E391" s="3">
        <v>13</v>
      </c>
      <c r="F391" s="3">
        <v>18</v>
      </c>
      <c r="G391" s="3">
        <v>234</v>
      </c>
      <c r="H391" s="1" t="s">
        <v>512</v>
      </c>
    </row>
    <row r="392" spans="1:8" ht="15" thickBot="1" x14ac:dyDescent="0.35">
      <c r="A392" s="1" t="s">
        <v>391</v>
      </c>
      <c r="B392" s="2">
        <v>46048</v>
      </c>
      <c r="C392" s="1" t="s">
        <v>521</v>
      </c>
      <c r="D392" s="1" t="s">
        <v>519</v>
      </c>
      <c r="E392" s="3">
        <v>85</v>
      </c>
      <c r="F392" s="3">
        <v>1</v>
      </c>
      <c r="G392" s="3">
        <v>85</v>
      </c>
      <c r="H392" s="1" t="s">
        <v>514</v>
      </c>
    </row>
    <row r="393" spans="1:8" ht="15" thickBot="1" x14ac:dyDescent="0.35">
      <c r="A393" s="1" t="s">
        <v>392</v>
      </c>
      <c r="B393" s="2">
        <v>46049</v>
      </c>
      <c r="C393" s="1" t="s">
        <v>522</v>
      </c>
      <c r="D393" s="1" t="s">
        <v>523</v>
      </c>
      <c r="E393" s="3">
        <v>18</v>
      </c>
      <c r="F393" s="3">
        <v>6</v>
      </c>
      <c r="G393" s="3">
        <v>108</v>
      </c>
      <c r="H393" s="1" t="s">
        <v>517</v>
      </c>
    </row>
    <row r="394" spans="1:8" ht="15" thickBot="1" x14ac:dyDescent="0.35">
      <c r="A394" s="1" t="s">
        <v>393</v>
      </c>
      <c r="B394" s="2">
        <v>46050</v>
      </c>
      <c r="C394" s="1" t="s">
        <v>508</v>
      </c>
      <c r="D394" s="1" t="s">
        <v>509</v>
      </c>
      <c r="E394" s="3">
        <v>7</v>
      </c>
      <c r="F394" s="3">
        <v>5</v>
      </c>
      <c r="G394" s="3">
        <v>35</v>
      </c>
      <c r="H394" s="1" t="s">
        <v>510</v>
      </c>
    </row>
    <row r="395" spans="1:8" ht="15" thickBot="1" x14ac:dyDescent="0.35">
      <c r="A395" s="1" t="s">
        <v>394</v>
      </c>
      <c r="B395" s="2">
        <v>46051</v>
      </c>
      <c r="C395" s="1" t="s">
        <v>511</v>
      </c>
      <c r="D395" s="1" t="s">
        <v>509</v>
      </c>
      <c r="E395" s="3">
        <v>12</v>
      </c>
      <c r="F395" s="3">
        <v>4</v>
      </c>
      <c r="G395" s="3">
        <v>48</v>
      </c>
      <c r="H395" s="1" t="s">
        <v>512</v>
      </c>
    </row>
    <row r="396" spans="1:8" ht="27.6" thickBot="1" x14ac:dyDescent="0.35">
      <c r="A396" s="1" t="s">
        <v>395</v>
      </c>
      <c r="B396" s="2">
        <v>46052</v>
      </c>
      <c r="C396" s="1" t="s">
        <v>513</v>
      </c>
      <c r="D396" s="1" t="s">
        <v>509</v>
      </c>
      <c r="E396" s="3">
        <v>6</v>
      </c>
      <c r="F396" s="3">
        <v>5.5</v>
      </c>
      <c r="G396" s="3">
        <v>33</v>
      </c>
      <c r="H396" s="1" t="s">
        <v>514</v>
      </c>
    </row>
    <row r="397" spans="1:8" ht="15" thickBot="1" x14ac:dyDescent="0.35">
      <c r="A397" s="1" t="s">
        <v>396</v>
      </c>
      <c r="B397" s="2">
        <v>46053</v>
      </c>
      <c r="C397" s="1" t="s">
        <v>515</v>
      </c>
      <c r="D397" s="1" t="s">
        <v>516</v>
      </c>
      <c r="E397" s="3">
        <v>4</v>
      </c>
      <c r="F397" s="3">
        <v>20</v>
      </c>
      <c r="G397" s="3">
        <v>80</v>
      </c>
      <c r="H397" s="1" t="s">
        <v>517</v>
      </c>
    </row>
    <row r="398" spans="1:8" ht="27.6" thickBot="1" x14ac:dyDescent="0.35">
      <c r="A398" s="1" t="s">
        <v>397</v>
      </c>
      <c r="B398" s="2">
        <v>46054</v>
      </c>
      <c r="C398" s="1" t="s">
        <v>518</v>
      </c>
      <c r="D398" s="1" t="s">
        <v>519</v>
      </c>
      <c r="E398" s="3">
        <v>15</v>
      </c>
      <c r="F398" s="3">
        <v>2.5</v>
      </c>
      <c r="G398" s="3">
        <v>37.5</v>
      </c>
      <c r="H398" s="1" t="s">
        <v>510</v>
      </c>
    </row>
    <row r="399" spans="1:8" ht="15" thickBot="1" x14ac:dyDescent="0.35">
      <c r="A399" s="1" t="s">
        <v>398</v>
      </c>
      <c r="B399" s="2">
        <v>46055</v>
      </c>
      <c r="C399" s="1" t="s">
        <v>520</v>
      </c>
      <c r="D399" s="1" t="s">
        <v>516</v>
      </c>
      <c r="E399" s="3">
        <v>5</v>
      </c>
      <c r="F399" s="3">
        <v>18</v>
      </c>
      <c r="G399" s="3">
        <v>90</v>
      </c>
      <c r="H399" s="1" t="s">
        <v>512</v>
      </c>
    </row>
    <row r="400" spans="1:8" ht="15" thickBot="1" x14ac:dyDescent="0.35">
      <c r="A400" s="1" t="s">
        <v>399</v>
      </c>
      <c r="B400" s="2">
        <v>46056</v>
      </c>
      <c r="C400" s="1" t="s">
        <v>521</v>
      </c>
      <c r="D400" s="1" t="s">
        <v>519</v>
      </c>
      <c r="E400" s="3">
        <v>30</v>
      </c>
      <c r="F400" s="3">
        <v>1</v>
      </c>
      <c r="G400" s="3">
        <v>30</v>
      </c>
      <c r="H400" s="1" t="s">
        <v>514</v>
      </c>
    </row>
    <row r="401" spans="1:8" ht="15" thickBot="1" x14ac:dyDescent="0.35">
      <c r="A401" s="1" t="s">
        <v>400</v>
      </c>
      <c r="B401" s="2">
        <v>46057</v>
      </c>
      <c r="C401" s="1" t="s">
        <v>522</v>
      </c>
      <c r="D401" s="1" t="s">
        <v>523</v>
      </c>
      <c r="E401" s="3">
        <v>8</v>
      </c>
      <c r="F401" s="3">
        <v>6</v>
      </c>
      <c r="G401" s="3">
        <v>48</v>
      </c>
      <c r="H401" s="1" t="s">
        <v>517</v>
      </c>
    </row>
    <row r="402" spans="1:8" ht="15" thickBot="1" x14ac:dyDescent="0.35">
      <c r="A402" s="1" t="s">
        <v>401</v>
      </c>
      <c r="B402" s="2">
        <v>46058</v>
      </c>
      <c r="C402" s="1" t="s">
        <v>508</v>
      </c>
      <c r="D402" s="1" t="s">
        <v>509</v>
      </c>
      <c r="E402" s="3">
        <v>10</v>
      </c>
      <c r="F402" s="3">
        <v>5</v>
      </c>
      <c r="G402" s="3">
        <v>50</v>
      </c>
      <c r="H402" s="1" t="s">
        <v>510</v>
      </c>
    </row>
    <row r="403" spans="1:8" ht="15" thickBot="1" x14ac:dyDescent="0.35">
      <c r="A403" s="1" t="s">
        <v>402</v>
      </c>
      <c r="B403" s="2">
        <v>46059</v>
      </c>
      <c r="C403" s="1" t="s">
        <v>511</v>
      </c>
      <c r="D403" s="1" t="s">
        <v>509</v>
      </c>
      <c r="E403" s="3">
        <v>16</v>
      </c>
      <c r="F403" s="3">
        <v>4</v>
      </c>
      <c r="G403" s="3">
        <v>64</v>
      </c>
      <c r="H403" s="1" t="s">
        <v>512</v>
      </c>
    </row>
    <row r="404" spans="1:8" ht="27.6" thickBot="1" x14ac:dyDescent="0.35">
      <c r="A404" s="1" t="s">
        <v>403</v>
      </c>
      <c r="B404" s="2">
        <v>46060</v>
      </c>
      <c r="C404" s="1" t="s">
        <v>513</v>
      </c>
      <c r="D404" s="1" t="s">
        <v>509</v>
      </c>
      <c r="E404" s="3">
        <v>9</v>
      </c>
      <c r="F404" s="3">
        <v>5.5</v>
      </c>
      <c r="G404" s="3">
        <v>49.5</v>
      </c>
      <c r="H404" s="1" t="s">
        <v>514</v>
      </c>
    </row>
    <row r="405" spans="1:8" ht="15" thickBot="1" x14ac:dyDescent="0.35">
      <c r="A405" s="1" t="s">
        <v>404</v>
      </c>
      <c r="B405" s="2">
        <v>46061</v>
      </c>
      <c r="C405" s="1" t="s">
        <v>515</v>
      </c>
      <c r="D405" s="1" t="s">
        <v>516</v>
      </c>
      <c r="E405" s="3">
        <v>5</v>
      </c>
      <c r="F405" s="3">
        <v>20</v>
      </c>
      <c r="G405" s="3">
        <v>100</v>
      </c>
      <c r="H405" s="1" t="s">
        <v>517</v>
      </c>
    </row>
    <row r="406" spans="1:8" ht="27.6" thickBot="1" x14ac:dyDescent="0.35">
      <c r="A406" s="1" t="s">
        <v>405</v>
      </c>
      <c r="B406" s="2">
        <v>46062</v>
      </c>
      <c r="C406" s="1" t="s">
        <v>518</v>
      </c>
      <c r="D406" s="1" t="s">
        <v>519</v>
      </c>
      <c r="E406" s="3">
        <v>25</v>
      </c>
      <c r="F406" s="3">
        <v>2.5</v>
      </c>
      <c r="G406" s="3">
        <v>62.5</v>
      </c>
      <c r="H406" s="1" t="s">
        <v>510</v>
      </c>
    </row>
    <row r="407" spans="1:8" ht="15" thickBot="1" x14ac:dyDescent="0.35">
      <c r="A407" s="1" t="s">
        <v>406</v>
      </c>
      <c r="B407" s="2">
        <v>46063</v>
      </c>
      <c r="C407" s="1" t="s">
        <v>520</v>
      </c>
      <c r="D407" s="1" t="s">
        <v>516</v>
      </c>
      <c r="E407" s="3">
        <v>7</v>
      </c>
      <c r="F407" s="3">
        <v>18</v>
      </c>
      <c r="G407" s="3">
        <v>126</v>
      </c>
      <c r="H407" s="1" t="s">
        <v>512</v>
      </c>
    </row>
    <row r="408" spans="1:8" ht="15" thickBot="1" x14ac:dyDescent="0.35">
      <c r="A408" s="1" t="s">
        <v>407</v>
      </c>
      <c r="B408" s="2">
        <v>46064</v>
      </c>
      <c r="C408" s="1" t="s">
        <v>521</v>
      </c>
      <c r="D408" s="1" t="s">
        <v>519</v>
      </c>
      <c r="E408" s="3">
        <v>45</v>
      </c>
      <c r="F408" s="3">
        <v>1</v>
      </c>
      <c r="G408" s="3">
        <v>45</v>
      </c>
      <c r="H408" s="1" t="s">
        <v>514</v>
      </c>
    </row>
    <row r="409" spans="1:8" ht="15" thickBot="1" x14ac:dyDescent="0.35">
      <c r="A409" s="1" t="s">
        <v>408</v>
      </c>
      <c r="B409" s="2">
        <v>46065</v>
      </c>
      <c r="C409" s="1" t="s">
        <v>522</v>
      </c>
      <c r="D409" s="1" t="s">
        <v>523</v>
      </c>
      <c r="E409" s="3">
        <v>10</v>
      </c>
      <c r="F409" s="3">
        <v>6</v>
      </c>
      <c r="G409" s="3">
        <v>60</v>
      </c>
      <c r="H409" s="1" t="s">
        <v>517</v>
      </c>
    </row>
    <row r="410" spans="1:8" ht="15" thickBot="1" x14ac:dyDescent="0.35">
      <c r="A410" s="1" t="s">
        <v>409</v>
      </c>
      <c r="B410" s="2">
        <v>46066</v>
      </c>
      <c r="C410" s="1" t="s">
        <v>508</v>
      </c>
      <c r="D410" s="1" t="s">
        <v>509</v>
      </c>
      <c r="E410" s="3">
        <v>13</v>
      </c>
      <c r="F410" s="3">
        <v>5</v>
      </c>
      <c r="G410" s="3">
        <v>65</v>
      </c>
      <c r="H410" s="1" t="s">
        <v>510</v>
      </c>
    </row>
    <row r="411" spans="1:8" ht="15" thickBot="1" x14ac:dyDescent="0.35">
      <c r="A411" s="1" t="s">
        <v>410</v>
      </c>
      <c r="B411" s="2">
        <v>46067</v>
      </c>
      <c r="C411" s="1" t="s">
        <v>511</v>
      </c>
      <c r="D411" s="1" t="s">
        <v>509</v>
      </c>
      <c r="E411" s="3">
        <v>20</v>
      </c>
      <c r="F411" s="3">
        <v>4</v>
      </c>
      <c r="G411" s="3">
        <v>80</v>
      </c>
      <c r="H411" s="1" t="s">
        <v>512</v>
      </c>
    </row>
    <row r="412" spans="1:8" ht="27.6" thickBot="1" x14ac:dyDescent="0.35">
      <c r="A412" s="1" t="s">
        <v>411</v>
      </c>
      <c r="B412" s="2">
        <v>46068</v>
      </c>
      <c r="C412" s="1" t="s">
        <v>513</v>
      </c>
      <c r="D412" s="1" t="s">
        <v>509</v>
      </c>
      <c r="E412" s="3">
        <v>11</v>
      </c>
      <c r="F412" s="3">
        <v>5.5</v>
      </c>
      <c r="G412" s="3">
        <v>60.5</v>
      </c>
      <c r="H412" s="1" t="s">
        <v>514</v>
      </c>
    </row>
    <row r="413" spans="1:8" ht="15" thickBot="1" x14ac:dyDescent="0.35">
      <c r="A413" s="1" t="s">
        <v>412</v>
      </c>
      <c r="B413" s="2">
        <v>46069</v>
      </c>
      <c r="C413" s="1" t="s">
        <v>515</v>
      </c>
      <c r="D413" s="1" t="s">
        <v>516</v>
      </c>
      <c r="E413" s="3">
        <v>7</v>
      </c>
      <c r="F413" s="3">
        <v>20</v>
      </c>
      <c r="G413" s="3">
        <v>140</v>
      </c>
      <c r="H413" s="1" t="s">
        <v>517</v>
      </c>
    </row>
    <row r="414" spans="1:8" ht="27.6" thickBot="1" x14ac:dyDescent="0.35">
      <c r="A414" s="1" t="s">
        <v>413</v>
      </c>
      <c r="B414" s="2">
        <v>46070</v>
      </c>
      <c r="C414" s="1" t="s">
        <v>518</v>
      </c>
      <c r="D414" s="1" t="s">
        <v>519</v>
      </c>
      <c r="E414" s="3">
        <v>32</v>
      </c>
      <c r="F414" s="3">
        <v>2.5</v>
      </c>
      <c r="G414" s="3">
        <v>80</v>
      </c>
      <c r="H414" s="1" t="s">
        <v>510</v>
      </c>
    </row>
    <row r="415" spans="1:8" ht="15" thickBot="1" x14ac:dyDescent="0.35">
      <c r="A415" s="1" t="s">
        <v>414</v>
      </c>
      <c r="B415" s="2">
        <v>46071</v>
      </c>
      <c r="C415" s="1" t="s">
        <v>520</v>
      </c>
      <c r="D415" s="1" t="s">
        <v>516</v>
      </c>
      <c r="E415" s="3">
        <v>9</v>
      </c>
      <c r="F415" s="3">
        <v>18</v>
      </c>
      <c r="G415" s="3">
        <v>162</v>
      </c>
      <c r="H415" s="1" t="s">
        <v>512</v>
      </c>
    </row>
    <row r="416" spans="1:8" ht="15" thickBot="1" x14ac:dyDescent="0.35">
      <c r="A416" s="1" t="s">
        <v>415</v>
      </c>
      <c r="B416" s="2">
        <v>46072</v>
      </c>
      <c r="C416" s="1" t="s">
        <v>521</v>
      </c>
      <c r="D416" s="1" t="s">
        <v>519</v>
      </c>
      <c r="E416" s="3">
        <v>60</v>
      </c>
      <c r="F416" s="3">
        <v>1</v>
      </c>
      <c r="G416" s="3">
        <v>60</v>
      </c>
      <c r="H416" s="1" t="s">
        <v>514</v>
      </c>
    </row>
    <row r="417" spans="1:8" ht="15" thickBot="1" x14ac:dyDescent="0.35">
      <c r="A417" s="1" t="s">
        <v>416</v>
      </c>
      <c r="B417" s="2">
        <v>46073</v>
      </c>
      <c r="C417" s="1" t="s">
        <v>522</v>
      </c>
      <c r="D417" s="1" t="s">
        <v>523</v>
      </c>
      <c r="E417" s="3">
        <v>13</v>
      </c>
      <c r="F417" s="3">
        <v>6</v>
      </c>
      <c r="G417" s="3">
        <v>78</v>
      </c>
      <c r="H417" s="1" t="s">
        <v>517</v>
      </c>
    </row>
    <row r="418" spans="1:8" ht="15" thickBot="1" x14ac:dyDescent="0.35">
      <c r="A418" s="1" t="s">
        <v>417</v>
      </c>
      <c r="B418" s="2">
        <v>46074</v>
      </c>
      <c r="C418" s="1" t="s">
        <v>508</v>
      </c>
      <c r="D418" s="1" t="s">
        <v>509</v>
      </c>
      <c r="E418" s="3">
        <v>17</v>
      </c>
      <c r="F418" s="3">
        <v>5</v>
      </c>
      <c r="G418" s="3">
        <v>85</v>
      </c>
      <c r="H418" s="1" t="s">
        <v>510</v>
      </c>
    </row>
    <row r="419" spans="1:8" ht="15" thickBot="1" x14ac:dyDescent="0.35">
      <c r="A419" s="1" t="s">
        <v>418</v>
      </c>
      <c r="B419" s="2">
        <v>46075</v>
      </c>
      <c r="C419" s="1" t="s">
        <v>511</v>
      </c>
      <c r="D419" s="1" t="s">
        <v>509</v>
      </c>
      <c r="E419" s="3">
        <v>25</v>
      </c>
      <c r="F419" s="3">
        <v>4</v>
      </c>
      <c r="G419" s="3">
        <v>100</v>
      </c>
      <c r="H419" s="1" t="s">
        <v>512</v>
      </c>
    </row>
    <row r="420" spans="1:8" ht="27.6" thickBot="1" x14ac:dyDescent="0.35">
      <c r="A420" s="1" t="s">
        <v>419</v>
      </c>
      <c r="B420" s="2">
        <v>46076</v>
      </c>
      <c r="C420" s="1" t="s">
        <v>513</v>
      </c>
      <c r="D420" s="1" t="s">
        <v>509</v>
      </c>
      <c r="E420" s="3">
        <v>14</v>
      </c>
      <c r="F420" s="3">
        <v>5.5</v>
      </c>
      <c r="G420" s="3">
        <v>77</v>
      </c>
      <c r="H420" s="1" t="s">
        <v>514</v>
      </c>
    </row>
    <row r="421" spans="1:8" ht="15" thickBot="1" x14ac:dyDescent="0.35">
      <c r="A421" s="1" t="s">
        <v>420</v>
      </c>
      <c r="B421" s="2">
        <v>46077</v>
      </c>
      <c r="C421" s="1" t="s">
        <v>515</v>
      </c>
      <c r="D421" s="1" t="s">
        <v>516</v>
      </c>
      <c r="E421" s="3">
        <v>9</v>
      </c>
      <c r="F421" s="3">
        <v>20</v>
      </c>
      <c r="G421" s="3">
        <v>180</v>
      </c>
      <c r="H421" s="1" t="s">
        <v>517</v>
      </c>
    </row>
    <row r="422" spans="1:8" ht="27.6" thickBot="1" x14ac:dyDescent="0.35">
      <c r="A422" s="1" t="s">
        <v>421</v>
      </c>
      <c r="B422" s="2">
        <v>46078</v>
      </c>
      <c r="C422" s="1" t="s">
        <v>518</v>
      </c>
      <c r="D422" s="1" t="s">
        <v>519</v>
      </c>
      <c r="E422" s="3">
        <v>40</v>
      </c>
      <c r="F422" s="3">
        <v>2.5</v>
      </c>
      <c r="G422" s="3">
        <v>100</v>
      </c>
      <c r="H422" s="1" t="s">
        <v>510</v>
      </c>
    </row>
    <row r="423" spans="1:8" ht="15" thickBot="1" x14ac:dyDescent="0.35">
      <c r="A423" s="1" t="s">
        <v>422</v>
      </c>
      <c r="B423" s="2">
        <v>46079</v>
      </c>
      <c r="C423" s="1" t="s">
        <v>520</v>
      </c>
      <c r="D423" s="1" t="s">
        <v>516</v>
      </c>
      <c r="E423" s="3">
        <v>12</v>
      </c>
      <c r="F423" s="3">
        <v>18</v>
      </c>
      <c r="G423" s="3">
        <v>216</v>
      </c>
      <c r="H423" s="1" t="s">
        <v>512</v>
      </c>
    </row>
    <row r="424" spans="1:8" ht="15" thickBot="1" x14ac:dyDescent="0.35">
      <c r="A424" s="1" t="s">
        <v>423</v>
      </c>
      <c r="B424" s="2">
        <v>46080</v>
      </c>
      <c r="C424" s="1" t="s">
        <v>521</v>
      </c>
      <c r="D424" s="1" t="s">
        <v>519</v>
      </c>
      <c r="E424" s="3">
        <v>75</v>
      </c>
      <c r="F424" s="3">
        <v>1</v>
      </c>
      <c r="G424" s="3">
        <v>75</v>
      </c>
      <c r="H424" s="1" t="s">
        <v>514</v>
      </c>
    </row>
    <row r="425" spans="1:8" ht="15" thickBot="1" x14ac:dyDescent="0.35">
      <c r="A425" s="1" t="s">
        <v>424</v>
      </c>
      <c r="B425" s="2">
        <v>46081</v>
      </c>
      <c r="C425" s="1" t="s">
        <v>522</v>
      </c>
      <c r="D425" s="1" t="s">
        <v>523</v>
      </c>
      <c r="E425" s="3">
        <v>16</v>
      </c>
      <c r="F425" s="3">
        <v>6</v>
      </c>
      <c r="G425" s="3">
        <v>96</v>
      </c>
      <c r="H425" s="1" t="s">
        <v>517</v>
      </c>
    </row>
    <row r="426" spans="1:8" ht="15" thickBot="1" x14ac:dyDescent="0.35">
      <c r="A426" s="1" t="s">
        <v>425</v>
      </c>
      <c r="B426" s="2">
        <v>46082</v>
      </c>
      <c r="C426" s="1" t="s">
        <v>508</v>
      </c>
      <c r="D426" s="1" t="s">
        <v>509</v>
      </c>
      <c r="E426" s="3">
        <v>22</v>
      </c>
      <c r="F426" s="3">
        <v>5</v>
      </c>
      <c r="G426" s="3">
        <v>110</v>
      </c>
      <c r="H426" s="1" t="s">
        <v>510</v>
      </c>
    </row>
    <row r="427" spans="1:8" ht="15" thickBot="1" x14ac:dyDescent="0.35">
      <c r="A427" s="1" t="s">
        <v>426</v>
      </c>
      <c r="B427" s="2">
        <v>46083</v>
      </c>
      <c r="C427" s="1" t="s">
        <v>511</v>
      </c>
      <c r="D427" s="1" t="s">
        <v>509</v>
      </c>
      <c r="E427" s="3">
        <v>32</v>
      </c>
      <c r="F427" s="3">
        <v>4</v>
      </c>
      <c r="G427" s="3">
        <v>128</v>
      </c>
      <c r="H427" s="1" t="s">
        <v>512</v>
      </c>
    </row>
    <row r="428" spans="1:8" ht="27.6" thickBot="1" x14ac:dyDescent="0.35">
      <c r="A428" s="1" t="s">
        <v>427</v>
      </c>
      <c r="B428" s="2">
        <v>46084</v>
      </c>
      <c r="C428" s="1" t="s">
        <v>513</v>
      </c>
      <c r="D428" s="1" t="s">
        <v>509</v>
      </c>
      <c r="E428" s="3">
        <v>18</v>
      </c>
      <c r="F428" s="3">
        <v>5.5</v>
      </c>
      <c r="G428" s="3">
        <v>99</v>
      </c>
      <c r="H428" s="1" t="s">
        <v>514</v>
      </c>
    </row>
    <row r="429" spans="1:8" ht="15" thickBot="1" x14ac:dyDescent="0.35">
      <c r="A429" s="1" t="s">
        <v>428</v>
      </c>
      <c r="B429" s="2">
        <v>46085</v>
      </c>
      <c r="C429" s="1" t="s">
        <v>515</v>
      </c>
      <c r="D429" s="1" t="s">
        <v>516</v>
      </c>
      <c r="E429" s="3">
        <v>12</v>
      </c>
      <c r="F429" s="3">
        <v>20</v>
      </c>
      <c r="G429" s="3">
        <v>240</v>
      </c>
      <c r="H429" s="1" t="s">
        <v>517</v>
      </c>
    </row>
    <row r="430" spans="1:8" ht="27.6" thickBot="1" x14ac:dyDescent="0.35">
      <c r="A430" s="1" t="s">
        <v>429</v>
      </c>
      <c r="B430" s="2">
        <v>46086</v>
      </c>
      <c r="C430" s="1" t="s">
        <v>518</v>
      </c>
      <c r="D430" s="1" t="s">
        <v>519</v>
      </c>
      <c r="E430" s="3">
        <v>55</v>
      </c>
      <c r="F430" s="3">
        <v>2.5</v>
      </c>
      <c r="G430" s="3">
        <v>137.5</v>
      </c>
      <c r="H430" s="1" t="s">
        <v>510</v>
      </c>
    </row>
    <row r="431" spans="1:8" ht="15" thickBot="1" x14ac:dyDescent="0.35">
      <c r="A431" s="1" t="s">
        <v>430</v>
      </c>
      <c r="B431" s="2">
        <v>46087</v>
      </c>
      <c r="C431" s="1" t="s">
        <v>520</v>
      </c>
      <c r="D431" s="1" t="s">
        <v>516</v>
      </c>
      <c r="E431" s="3">
        <v>15</v>
      </c>
      <c r="F431" s="3">
        <v>18</v>
      </c>
      <c r="G431" s="3">
        <v>270</v>
      </c>
      <c r="H431" s="1" t="s">
        <v>512</v>
      </c>
    </row>
    <row r="432" spans="1:8" ht="15" thickBot="1" x14ac:dyDescent="0.35">
      <c r="A432" s="1" t="s">
        <v>431</v>
      </c>
      <c r="B432" s="2">
        <v>46088</v>
      </c>
      <c r="C432" s="1" t="s">
        <v>521</v>
      </c>
      <c r="D432" s="1" t="s">
        <v>519</v>
      </c>
      <c r="E432" s="3">
        <v>95</v>
      </c>
      <c r="F432" s="3">
        <v>1</v>
      </c>
      <c r="G432" s="3">
        <v>95</v>
      </c>
      <c r="H432" s="1" t="s">
        <v>514</v>
      </c>
    </row>
    <row r="433" spans="1:8" ht="15" thickBot="1" x14ac:dyDescent="0.35">
      <c r="A433" s="1" t="s">
        <v>432</v>
      </c>
      <c r="B433" s="2">
        <v>46089</v>
      </c>
      <c r="C433" s="1" t="s">
        <v>522</v>
      </c>
      <c r="D433" s="1" t="s">
        <v>523</v>
      </c>
      <c r="E433" s="3">
        <v>20</v>
      </c>
      <c r="F433" s="3">
        <v>6</v>
      </c>
      <c r="G433" s="3">
        <v>120</v>
      </c>
      <c r="H433" s="1" t="s">
        <v>517</v>
      </c>
    </row>
    <row r="434" spans="1:8" ht="15" thickBot="1" x14ac:dyDescent="0.35">
      <c r="A434" s="1" t="s">
        <v>433</v>
      </c>
      <c r="B434" s="2">
        <v>46090</v>
      </c>
      <c r="C434" s="1" t="s">
        <v>508</v>
      </c>
      <c r="D434" s="1" t="s">
        <v>509</v>
      </c>
      <c r="E434" s="3">
        <v>9</v>
      </c>
      <c r="F434" s="3">
        <v>5</v>
      </c>
      <c r="G434" s="3">
        <v>45</v>
      </c>
      <c r="H434" s="1" t="s">
        <v>510</v>
      </c>
    </row>
    <row r="435" spans="1:8" ht="15" thickBot="1" x14ac:dyDescent="0.35">
      <c r="A435" s="1" t="s">
        <v>434</v>
      </c>
      <c r="B435" s="2">
        <v>46091</v>
      </c>
      <c r="C435" s="1" t="s">
        <v>511</v>
      </c>
      <c r="D435" s="1" t="s">
        <v>509</v>
      </c>
      <c r="E435" s="3">
        <v>14</v>
      </c>
      <c r="F435" s="3">
        <v>4</v>
      </c>
      <c r="G435" s="3">
        <v>56</v>
      </c>
      <c r="H435" s="1" t="s">
        <v>512</v>
      </c>
    </row>
    <row r="436" spans="1:8" ht="27.6" thickBot="1" x14ac:dyDescent="0.35">
      <c r="A436" s="1" t="s">
        <v>435</v>
      </c>
      <c r="B436" s="2">
        <v>46092</v>
      </c>
      <c r="C436" s="1" t="s">
        <v>513</v>
      </c>
      <c r="D436" s="1" t="s">
        <v>509</v>
      </c>
      <c r="E436" s="3">
        <v>8</v>
      </c>
      <c r="F436" s="3">
        <v>5.5</v>
      </c>
      <c r="G436" s="3">
        <v>44</v>
      </c>
      <c r="H436" s="1" t="s">
        <v>514</v>
      </c>
    </row>
    <row r="437" spans="1:8" ht="15" thickBot="1" x14ac:dyDescent="0.35">
      <c r="A437" s="1" t="s">
        <v>436</v>
      </c>
      <c r="B437" s="2">
        <v>46093</v>
      </c>
      <c r="C437" s="1" t="s">
        <v>515</v>
      </c>
      <c r="D437" s="1" t="s">
        <v>516</v>
      </c>
      <c r="E437" s="3">
        <v>4</v>
      </c>
      <c r="F437" s="3">
        <v>20</v>
      </c>
      <c r="G437" s="3">
        <v>80</v>
      </c>
      <c r="H437" s="1" t="s">
        <v>517</v>
      </c>
    </row>
    <row r="438" spans="1:8" ht="27.6" thickBot="1" x14ac:dyDescent="0.35">
      <c r="A438" s="1" t="s">
        <v>437</v>
      </c>
      <c r="B438" s="2">
        <v>46094</v>
      </c>
      <c r="C438" s="1" t="s">
        <v>518</v>
      </c>
      <c r="D438" s="1" t="s">
        <v>519</v>
      </c>
      <c r="E438" s="3">
        <v>18</v>
      </c>
      <c r="F438" s="3">
        <v>2.5</v>
      </c>
      <c r="G438" s="3">
        <v>45</v>
      </c>
      <c r="H438" s="1" t="s">
        <v>510</v>
      </c>
    </row>
    <row r="439" spans="1:8" ht="15" thickBot="1" x14ac:dyDescent="0.35">
      <c r="A439" s="1" t="s">
        <v>438</v>
      </c>
      <c r="B439" s="2">
        <v>46095</v>
      </c>
      <c r="C439" s="1" t="s">
        <v>520</v>
      </c>
      <c r="D439" s="1" t="s">
        <v>516</v>
      </c>
      <c r="E439" s="3">
        <v>6</v>
      </c>
      <c r="F439" s="3">
        <v>18</v>
      </c>
      <c r="G439" s="3">
        <v>108</v>
      </c>
      <c r="H439" s="1" t="s">
        <v>512</v>
      </c>
    </row>
    <row r="440" spans="1:8" ht="15" thickBot="1" x14ac:dyDescent="0.35">
      <c r="A440" s="1" t="s">
        <v>439</v>
      </c>
      <c r="B440" s="2">
        <v>46096</v>
      </c>
      <c r="C440" s="1" t="s">
        <v>521</v>
      </c>
      <c r="D440" s="1" t="s">
        <v>519</v>
      </c>
      <c r="E440" s="3">
        <v>35</v>
      </c>
      <c r="F440" s="3">
        <v>1</v>
      </c>
      <c r="G440" s="3">
        <v>35</v>
      </c>
      <c r="H440" s="1" t="s">
        <v>514</v>
      </c>
    </row>
    <row r="441" spans="1:8" ht="15" thickBot="1" x14ac:dyDescent="0.35">
      <c r="A441" s="1" t="s">
        <v>440</v>
      </c>
      <c r="B441" s="2">
        <v>46097</v>
      </c>
      <c r="C441" s="1" t="s">
        <v>522</v>
      </c>
      <c r="D441" s="1" t="s">
        <v>523</v>
      </c>
      <c r="E441" s="3">
        <v>9</v>
      </c>
      <c r="F441" s="3">
        <v>6</v>
      </c>
      <c r="G441" s="3">
        <v>54</v>
      </c>
      <c r="H441" s="1" t="s">
        <v>517</v>
      </c>
    </row>
    <row r="442" spans="1:8" ht="15" thickBot="1" x14ac:dyDescent="0.35">
      <c r="A442" s="1" t="s">
        <v>441</v>
      </c>
      <c r="B442" s="2">
        <v>46098</v>
      </c>
      <c r="C442" s="1" t="s">
        <v>508</v>
      </c>
      <c r="D442" s="1" t="s">
        <v>509</v>
      </c>
      <c r="E442" s="3">
        <v>12</v>
      </c>
      <c r="F442" s="3">
        <v>5</v>
      </c>
      <c r="G442" s="3">
        <v>60</v>
      </c>
      <c r="H442" s="1" t="s">
        <v>510</v>
      </c>
    </row>
    <row r="443" spans="1:8" ht="15" thickBot="1" x14ac:dyDescent="0.35">
      <c r="A443" s="1" t="s">
        <v>442</v>
      </c>
      <c r="B443" s="2">
        <v>46099</v>
      </c>
      <c r="C443" s="1" t="s">
        <v>511</v>
      </c>
      <c r="D443" s="1" t="s">
        <v>509</v>
      </c>
      <c r="E443" s="3">
        <v>18</v>
      </c>
      <c r="F443" s="3">
        <v>4</v>
      </c>
      <c r="G443" s="3">
        <v>72</v>
      </c>
      <c r="H443" s="1" t="s">
        <v>512</v>
      </c>
    </row>
    <row r="444" spans="1:8" ht="27.6" thickBot="1" x14ac:dyDescent="0.35">
      <c r="A444" s="1" t="s">
        <v>443</v>
      </c>
      <c r="B444" s="2">
        <v>46100</v>
      </c>
      <c r="C444" s="1" t="s">
        <v>513</v>
      </c>
      <c r="D444" s="1" t="s">
        <v>509</v>
      </c>
      <c r="E444" s="3">
        <v>10</v>
      </c>
      <c r="F444" s="3">
        <v>5.5</v>
      </c>
      <c r="G444" s="3">
        <v>55</v>
      </c>
      <c r="H444" s="1" t="s">
        <v>514</v>
      </c>
    </row>
    <row r="445" spans="1:8" ht="15" thickBot="1" x14ac:dyDescent="0.35">
      <c r="A445" s="1" t="s">
        <v>444</v>
      </c>
      <c r="B445" s="2">
        <v>46101</v>
      </c>
      <c r="C445" s="1" t="s">
        <v>515</v>
      </c>
      <c r="D445" s="1" t="s">
        <v>516</v>
      </c>
      <c r="E445" s="3">
        <v>6</v>
      </c>
      <c r="F445" s="3">
        <v>20</v>
      </c>
      <c r="G445" s="3">
        <v>120</v>
      </c>
      <c r="H445" s="1" t="s">
        <v>517</v>
      </c>
    </row>
    <row r="446" spans="1:8" ht="27.6" thickBot="1" x14ac:dyDescent="0.35">
      <c r="A446" s="1" t="s">
        <v>445</v>
      </c>
      <c r="B446" s="2">
        <v>46102</v>
      </c>
      <c r="C446" s="1" t="s">
        <v>518</v>
      </c>
      <c r="D446" s="1" t="s">
        <v>519</v>
      </c>
      <c r="E446" s="3">
        <v>28</v>
      </c>
      <c r="F446" s="3">
        <v>2.5</v>
      </c>
      <c r="G446" s="3">
        <v>70</v>
      </c>
      <c r="H446" s="1" t="s">
        <v>510</v>
      </c>
    </row>
    <row r="447" spans="1:8" ht="15" thickBot="1" x14ac:dyDescent="0.35">
      <c r="A447" s="1" t="s">
        <v>446</v>
      </c>
      <c r="B447" s="2">
        <v>46103</v>
      </c>
      <c r="C447" s="1" t="s">
        <v>520</v>
      </c>
      <c r="D447" s="1" t="s">
        <v>516</v>
      </c>
      <c r="E447" s="3">
        <v>8</v>
      </c>
      <c r="F447" s="3">
        <v>18</v>
      </c>
      <c r="G447" s="3">
        <v>144</v>
      </c>
      <c r="H447" s="1" t="s">
        <v>512</v>
      </c>
    </row>
    <row r="448" spans="1:8" ht="15" thickBot="1" x14ac:dyDescent="0.35">
      <c r="A448" s="1" t="s">
        <v>447</v>
      </c>
      <c r="B448" s="2">
        <v>46104</v>
      </c>
      <c r="C448" s="1" t="s">
        <v>521</v>
      </c>
      <c r="D448" s="1" t="s">
        <v>519</v>
      </c>
      <c r="E448" s="3">
        <v>50</v>
      </c>
      <c r="F448" s="3">
        <v>1</v>
      </c>
      <c r="G448" s="3">
        <v>50</v>
      </c>
      <c r="H448" s="1" t="s">
        <v>514</v>
      </c>
    </row>
    <row r="449" spans="1:8" ht="15" thickBot="1" x14ac:dyDescent="0.35">
      <c r="A449" s="1" t="s">
        <v>448</v>
      </c>
      <c r="B449" s="2">
        <v>46105</v>
      </c>
      <c r="C449" s="1" t="s">
        <v>522</v>
      </c>
      <c r="D449" s="1" t="s">
        <v>523</v>
      </c>
      <c r="E449" s="3">
        <v>12</v>
      </c>
      <c r="F449" s="3">
        <v>6</v>
      </c>
      <c r="G449" s="3">
        <v>72</v>
      </c>
      <c r="H449" s="1" t="s">
        <v>517</v>
      </c>
    </row>
    <row r="450" spans="1:8" ht="15" thickBot="1" x14ac:dyDescent="0.35">
      <c r="A450" s="1" t="s">
        <v>449</v>
      </c>
      <c r="B450" s="2">
        <v>46106</v>
      </c>
      <c r="C450" s="1" t="s">
        <v>508</v>
      </c>
      <c r="D450" s="1" t="s">
        <v>509</v>
      </c>
      <c r="E450" s="3">
        <v>15</v>
      </c>
      <c r="F450" s="3">
        <v>5</v>
      </c>
      <c r="G450" s="3">
        <v>75</v>
      </c>
      <c r="H450" s="1" t="s">
        <v>510</v>
      </c>
    </row>
    <row r="451" spans="1:8" ht="15" thickBot="1" x14ac:dyDescent="0.35">
      <c r="A451" s="1" t="s">
        <v>450</v>
      </c>
      <c r="B451" s="2">
        <v>46107</v>
      </c>
      <c r="C451" s="1" t="s">
        <v>511</v>
      </c>
      <c r="D451" s="1" t="s">
        <v>509</v>
      </c>
      <c r="E451" s="3">
        <v>24</v>
      </c>
      <c r="F451" s="3">
        <v>4</v>
      </c>
      <c r="G451" s="3">
        <v>96</v>
      </c>
      <c r="H451" s="1" t="s">
        <v>512</v>
      </c>
    </row>
    <row r="452" spans="1:8" ht="27.6" thickBot="1" x14ac:dyDescent="0.35">
      <c r="A452" s="1" t="s">
        <v>451</v>
      </c>
      <c r="B452" s="2">
        <v>46108</v>
      </c>
      <c r="C452" s="1" t="s">
        <v>513</v>
      </c>
      <c r="D452" s="1" t="s">
        <v>509</v>
      </c>
      <c r="E452" s="3">
        <v>13</v>
      </c>
      <c r="F452" s="3">
        <v>5.5</v>
      </c>
      <c r="G452" s="3">
        <v>71.5</v>
      </c>
      <c r="H452" s="1" t="s">
        <v>514</v>
      </c>
    </row>
    <row r="453" spans="1:8" ht="15" thickBot="1" x14ac:dyDescent="0.35">
      <c r="A453" s="1" t="s">
        <v>452</v>
      </c>
      <c r="B453" s="2">
        <v>46109</v>
      </c>
      <c r="C453" s="1" t="s">
        <v>515</v>
      </c>
      <c r="D453" s="1" t="s">
        <v>516</v>
      </c>
      <c r="E453" s="3">
        <v>8</v>
      </c>
      <c r="F453" s="3">
        <v>20</v>
      </c>
      <c r="G453" s="3">
        <v>160</v>
      </c>
      <c r="H453" s="1" t="s">
        <v>517</v>
      </c>
    </row>
    <row r="454" spans="1:8" ht="27.6" thickBot="1" x14ac:dyDescent="0.35">
      <c r="A454" s="1" t="s">
        <v>453</v>
      </c>
      <c r="B454" s="2">
        <v>46110</v>
      </c>
      <c r="C454" s="1" t="s">
        <v>518</v>
      </c>
      <c r="D454" s="1" t="s">
        <v>519</v>
      </c>
      <c r="E454" s="3">
        <v>38</v>
      </c>
      <c r="F454" s="3">
        <v>2.5</v>
      </c>
      <c r="G454" s="3">
        <v>95</v>
      </c>
      <c r="H454" s="1" t="s">
        <v>510</v>
      </c>
    </row>
    <row r="455" spans="1:8" ht="15" thickBot="1" x14ac:dyDescent="0.35">
      <c r="A455" s="1" t="s">
        <v>454</v>
      </c>
      <c r="B455" s="2">
        <v>46111</v>
      </c>
      <c r="C455" s="1" t="s">
        <v>520</v>
      </c>
      <c r="D455" s="1" t="s">
        <v>516</v>
      </c>
      <c r="E455" s="3">
        <v>11</v>
      </c>
      <c r="F455" s="3">
        <v>18</v>
      </c>
      <c r="G455" s="3">
        <v>198</v>
      </c>
      <c r="H455" s="1" t="s">
        <v>512</v>
      </c>
    </row>
    <row r="456" spans="1:8" ht="15" thickBot="1" x14ac:dyDescent="0.35">
      <c r="A456" s="1" t="s">
        <v>455</v>
      </c>
      <c r="B456" s="2">
        <v>46112</v>
      </c>
      <c r="C456" s="1" t="s">
        <v>521</v>
      </c>
      <c r="D456" s="1" t="s">
        <v>519</v>
      </c>
      <c r="E456" s="3">
        <v>70</v>
      </c>
      <c r="F456" s="3">
        <v>1</v>
      </c>
      <c r="G456" s="3">
        <v>70</v>
      </c>
      <c r="H456" s="1" t="s">
        <v>514</v>
      </c>
    </row>
    <row r="457" spans="1:8" ht="15" thickBot="1" x14ac:dyDescent="0.35">
      <c r="A457" s="1" t="s">
        <v>456</v>
      </c>
      <c r="B457" s="2">
        <v>46113</v>
      </c>
      <c r="C457" s="1" t="s">
        <v>522</v>
      </c>
      <c r="D457" s="1" t="s">
        <v>523</v>
      </c>
      <c r="E457" s="3">
        <v>15</v>
      </c>
      <c r="F457" s="3">
        <v>6</v>
      </c>
      <c r="G457" s="3">
        <v>90</v>
      </c>
      <c r="H457" s="1" t="s">
        <v>517</v>
      </c>
    </row>
    <row r="458" spans="1:8" ht="15" thickBot="1" x14ac:dyDescent="0.35">
      <c r="A458" s="1" t="s">
        <v>457</v>
      </c>
      <c r="B458" s="2">
        <v>46114</v>
      </c>
      <c r="C458" s="1" t="s">
        <v>508</v>
      </c>
      <c r="D458" s="1" t="s">
        <v>509</v>
      </c>
      <c r="E458" s="3">
        <v>19</v>
      </c>
      <c r="F458" s="3">
        <v>5</v>
      </c>
      <c r="G458" s="3">
        <v>95</v>
      </c>
      <c r="H458" s="1" t="s">
        <v>510</v>
      </c>
    </row>
    <row r="459" spans="1:8" ht="15" thickBot="1" x14ac:dyDescent="0.35">
      <c r="A459" s="1" t="s">
        <v>458</v>
      </c>
      <c r="B459" s="2">
        <v>46115</v>
      </c>
      <c r="C459" s="1" t="s">
        <v>511</v>
      </c>
      <c r="D459" s="1" t="s">
        <v>509</v>
      </c>
      <c r="E459" s="3">
        <v>28</v>
      </c>
      <c r="F459" s="3">
        <v>4</v>
      </c>
      <c r="G459" s="3">
        <v>112</v>
      </c>
      <c r="H459" s="1" t="s">
        <v>512</v>
      </c>
    </row>
    <row r="460" spans="1:8" ht="27.6" thickBot="1" x14ac:dyDescent="0.35">
      <c r="A460" s="1" t="s">
        <v>459</v>
      </c>
      <c r="B460" s="2">
        <v>46116</v>
      </c>
      <c r="C460" s="1" t="s">
        <v>513</v>
      </c>
      <c r="D460" s="1" t="s">
        <v>509</v>
      </c>
      <c r="E460" s="3">
        <v>16</v>
      </c>
      <c r="F460" s="3">
        <v>5.5</v>
      </c>
      <c r="G460" s="3">
        <v>88</v>
      </c>
      <c r="H460" s="1" t="s">
        <v>514</v>
      </c>
    </row>
    <row r="461" spans="1:8" ht="15" thickBot="1" x14ac:dyDescent="0.35">
      <c r="A461" s="1" t="s">
        <v>460</v>
      </c>
      <c r="B461" s="2">
        <v>46117</v>
      </c>
      <c r="C461" s="1" t="s">
        <v>515</v>
      </c>
      <c r="D461" s="1" t="s">
        <v>516</v>
      </c>
      <c r="E461" s="3">
        <v>10</v>
      </c>
      <c r="F461" s="3">
        <v>20</v>
      </c>
      <c r="G461" s="3">
        <v>200</v>
      </c>
      <c r="H461" s="1" t="s">
        <v>517</v>
      </c>
    </row>
    <row r="462" spans="1:8" ht="27.6" thickBot="1" x14ac:dyDescent="0.35">
      <c r="A462" s="1" t="s">
        <v>461</v>
      </c>
      <c r="B462" s="2">
        <v>46118</v>
      </c>
      <c r="C462" s="1" t="s">
        <v>518</v>
      </c>
      <c r="D462" s="1" t="s">
        <v>519</v>
      </c>
      <c r="E462" s="3">
        <v>45</v>
      </c>
      <c r="F462" s="3">
        <v>2.5</v>
      </c>
      <c r="G462" s="3">
        <v>112.5</v>
      </c>
      <c r="H462" s="1" t="s">
        <v>510</v>
      </c>
    </row>
    <row r="463" spans="1:8" ht="15" thickBot="1" x14ac:dyDescent="0.35">
      <c r="A463" s="1" t="s">
        <v>462</v>
      </c>
      <c r="B463" s="2">
        <v>46119</v>
      </c>
      <c r="C463" s="1" t="s">
        <v>520</v>
      </c>
      <c r="D463" s="1" t="s">
        <v>516</v>
      </c>
      <c r="E463" s="3">
        <v>14</v>
      </c>
      <c r="F463" s="3">
        <v>18</v>
      </c>
      <c r="G463" s="3">
        <v>252</v>
      </c>
      <c r="H463" s="1" t="s">
        <v>512</v>
      </c>
    </row>
    <row r="464" spans="1:8" ht="15" thickBot="1" x14ac:dyDescent="0.35">
      <c r="A464" s="1" t="s">
        <v>463</v>
      </c>
      <c r="B464" s="2">
        <v>46120</v>
      </c>
      <c r="C464" s="1" t="s">
        <v>521</v>
      </c>
      <c r="D464" s="1" t="s">
        <v>519</v>
      </c>
      <c r="E464" s="3">
        <v>85</v>
      </c>
      <c r="F464" s="3">
        <v>1</v>
      </c>
      <c r="G464" s="3">
        <v>85</v>
      </c>
      <c r="H464" s="1" t="s">
        <v>514</v>
      </c>
    </row>
    <row r="465" spans="1:8" ht="15" thickBot="1" x14ac:dyDescent="0.35">
      <c r="A465" s="1" t="s">
        <v>464</v>
      </c>
      <c r="B465" s="2">
        <v>46121</v>
      </c>
      <c r="C465" s="1" t="s">
        <v>522</v>
      </c>
      <c r="D465" s="1" t="s">
        <v>523</v>
      </c>
      <c r="E465" s="3">
        <v>18</v>
      </c>
      <c r="F465" s="3">
        <v>6</v>
      </c>
      <c r="G465" s="3">
        <v>108</v>
      </c>
      <c r="H465" s="1" t="s">
        <v>517</v>
      </c>
    </row>
    <row r="466" spans="1:8" ht="15" thickBot="1" x14ac:dyDescent="0.35">
      <c r="A466" s="1" t="s">
        <v>465</v>
      </c>
      <c r="B466" s="2">
        <v>46122</v>
      </c>
      <c r="C466" s="1" t="s">
        <v>508</v>
      </c>
      <c r="D466" s="1" t="s">
        <v>509</v>
      </c>
      <c r="E466" s="3">
        <v>25</v>
      </c>
      <c r="F466" s="3">
        <v>5</v>
      </c>
      <c r="G466" s="3">
        <v>125</v>
      </c>
      <c r="H466" s="1" t="s">
        <v>510</v>
      </c>
    </row>
    <row r="467" spans="1:8" ht="15" thickBot="1" x14ac:dyDescent="0.35">
      <c r="A467" s="1" t="s">
        <v>466</v>
      </c>
      <c r="B467" s="2">
        <v>46123</v>
      </c>
      <c r="C467" s="1" t="s">
        <v>511</v>
      </c>
      <c r="D467" s="1" t="s">
        <v>509</v>
      </c>
      <c r="E467" s="3">
        <v>35</v>
      </c>
      <c r="F467" s="3">
        <v>4</v>
      </c>
      <c r="G467" s="3">
        <v>140</v>
      </c>
      <c r="H467" s="1" t="s">
        <v>512</v>
      </c>
    </row>
    <row r="468" spans="1:8" ht="27.6" thickBot="1" x14ac:dyDescent="0.35">
      <c r="A468" s="1" t="s">
        <v>467</v>
      </c>
      <c r="B468" s="2">
        <v>46124</v>
      </c>
      <c r="C468" s="1" t="s">
        <v>513</v>
      </c>
      <c r="D468" s="1" t="s">
        <v>509</v>
      </c>
      <c r="E468" s="3">
        <v>20</v>
      </c>
      <c r="F468" s="3">
        <v>5.5</v>
      </c>
      <c r="G468" s="3">
        <v>110</v>
      </c>
      <c r="H468" s="1" t="s">
        <v>514</v>
      </c>
    </row>
    <row r="469" spans="1:8" ht="15" thickBot="1" x14ac:dyDescent="0.35">
      <c r="A469" s="1" t="s">
        <v>468</v>
      </c>
      <c r="B469" s="2">
        <v>46125</v>
      </c>
      <c r="C469" s="1" t="s">
        <v>515</v>
      </c>
      <c r="D469" s="1" t="s">
        <v>516</v>
      </c>
      <c r="E469" s="3">
        <v>15</v>
      </c>
      <c r="F469" s="3">
        <v>20</v>
      </c>
      <c r="G469" s="3">
        <v>300</v>
      </c>
      <c r="H469" s="1" t="s">
        <v>517</v>
      </c>
    </row>
    <row r="470" spans="1:8" ht="27.6" thickBot="1" x14ac:dyDescent="0.35">
      <c r="A470" s="1" t="s">
        <v>469</v>
      </c>
      <c r="B470" s="2">
        <v>46126</v>
      </c>
      <c r="C470" s="1" t="s">
        <v>518</v>
      </c>
      <c r="D470" s="1" t="s">
        <v>519</v>
      </c>
      <c r="E470" s="3">
        <v>60</v>
      </c>
      <c r="F470" s="3">
        <v>2.5</v>
      </c>
      <c r="G470" s="3">
        <v>150</v>
      </c>
      <c r="H470" s="1" t="s">
        <v>510</v>
      </c>
    </row>
    <row r="471" spans="1:8" ht="15" thickBot="1" x14ac:dyDescent="0.35">
      <c r="A471" s="1" t="s">
        <v>470</v>
      </c>
      <c r="B471" s="2">
        <v>46127</v>
      </c>
      <c r="C471" s="1" t="s">
        <v>520</v>
      </c>
      <c r="D471" s="1" t="s">
        <v>516</v>
      </c>
      <c r="E471" s="3">
        <v>18</v>
      </c>
      <c r="F471" s="3">
        <v>18</v>
      </c>
      <c r="G471" s="3">
        <v>324</v>
      </c>
      <c r="H471" s="1" t="s">
        <v>512</v>
      </c>
    </row>
    <row r="472" spans="1:8" ht="15" thickBot="1" x14ac:dyDescent="0.35">
      <c r="A472" s="1" t="s">
        <v>471</v>
      </c>
      <c r="B472" s="2">
        <v>46128</v>
      </c>
      <c r="C472" s="1" t="s">
        <v>521</v>
      </c>
      <c r="D472" s="1" t="s">
        <v>519</v>
      </c>
      <c r="E472" s="3">
        <v>110</v>
      </c>
      <c r="F472" s="3">
        <v>1</v>
      </c>
      <c r="G472" s="3">
        <v>110</v>
      </c>
      <c r="H472" s="1" t="s">
        <v>514</v>
      </c>
    </row>
    <row r="473" spans="1:8" ht="15" thickBot="1" x14ac:dyDescent="0.35">
      <c r="A473" s="1" t="s">
        <v>472</v>
      </c>
      <c r="B473" s="2">
        <v>46129</v>
      </c>
      <c r="C473" s="1" t="s">
        <v>522</v>
      </c>
      <c r="D473" s="1" t="s">
        <v>523</v>
      </c>
      <c r="E473" s="3">
        <v>22</v>
      </c>
      <c r="F473" s="3">
        <v>6</v>
      </c>
      <c r="G473" s="3">
        <v>132</v>
      </c>
      <c r="H473" s="1" t="s">
        <v>517</v>
      </c>
    </row>
    <row r="474" spans="1:8" ht="15" thickBot="1" x14ac:dyDescent="0.35">
      <c r="A474" s="1" t="s">
        <v>473</v>
      </c>
      <c r="B474" s="2">
        <v>46130</v>
      </c>
      <c r="C474" s="1" t="s">
        <v>508</v>
      </c>
      <c r="D474" s="1" t="s">
        <v>509</v>
      </c>
      <c r="E474" s="3">
        <v>10</v>
      </c>
      <c r="F474" s="3">
        <v>5</v>
      </c>
      <c r="G474" s="3">
        <v>50</v>
      </c>
      <c r="H474" s="1" t="s">
        <v>510</v>
      </c>
    </row>
    <row r="475" spans="1:8" ht="15" thickBot="1" x14ac:dyDescent="0.35">
      <c r="A475" s="1" t="s">
        <v>474</v>
      </c>
      <c r="B475" s="2">
        <v>46131</v>
      </c>
      <c r="C475" s="1" t="s">
        <v>511</v>
      </c>
      <c r="D475" s="1" t="s">
        <v>509</v>
      </c>
      <c r="E475" s="3">
        <v>16</v>
      </c>
      <c r="F475" s="3">
        <v>4</v>
      </c>
      <c r="G475" s="3">
        <v>64</v>
      </c>
      <c r="H475" s="1" t="s">
        <v>512</v>
      </c>
    </row>
    <row r="476" spans="1:8" ht="27.6" thickBot="1" x14ac:dyDescent="0.35">
      <c r="A476" s="1" t="s">
        <v>475</v>
      </c>
      <c r="B476" s="2">
        <v>46132</v>
      </c>
      <c r="C476" s="1" t="s">
        <v>513</v>
      </c>
      <c r="D476" s="1" t="s">
        <v>509</v>
      </c>
      <c r="E476" s="3">
        <v>9</v>
      </c>
      <c r="F476" s="3">
        <v>5.5</v>
      </c>
      <c r="G476" s="3">
        <v>49.5</v>
      </c>
      <c r="H476" s="1" t="s">
        <v>514</v>
      </c>
    </row>
    <row r="477" spans="1:8" ht="15" thickBot="1" x14ac:dyDescent="0.35">
      <c r="A477" s="1" t="s">
        <v>476</v>
      </c>
      <c r="B477" s="2">
        <v>46133</v>
      </c>
      <c r="C477" s="1" t="s">
        <v>515</v>
      </c>
      <c r="D477" s="1" t="s">
        <v>516</v>
      </c>
      <c r="E477" s="3">
        <v>5</v>
      </c>
      <c r="F477" s="3">
        <v>20</v>
      </c>
      <c r="G477" s="3">
        <v>100</v>
      </c>
      <c r="H477" s="1" t="s">
        <v>517</v>
      </c>
    </row>
    <row r="478" spans="1:8" ht="27.6" thickBot="1" x14ac:dyDescent="0.35">
      <c r="A478" s="1" t="s">
        <v>477</v>
      </c>
      <c r="B478" s="2">
        <v>46134</v>
      </c>
      <c r="C478" s="1" t="s">
        <v>518</v>
      </c>
      <c r="D478" s="1" t="s">
        <v>519</v>
      </c>
      <c r="E478" s="3">
        <v>22</v>
      </c>
      <c r="F478" s="3">
        <v>2.5</v>
      </c>
      <c r="G478" s="3">
        <v>55</v>
      </c>
      <c r="H478" s="1" t="s">
        <v>510</v>
      </c>
    </row>
    <row r="479" spans="1:8" ht="15" thickBot="1" x14ac:dyDescent="0.35">
      <c r="A479" s="1" t="s">
        <v>478</v>
      </c>
      <c r="B479" s="2">
        <v>46135</v>
      </c>
      <c r="C479" s="1" t="s">
        <v>520</v>
      </c>
      <c r="D479" s="1" t="s">
        <v>516</v>
      </c>
      <c r="E479" s="3">
        <v>7</v>
      </c>
      <c r="F479" s="3">
        <v>18</v>
      </c>
      <c r="G479" s="3">
        <v>126</v>
      </c>
      <c r="H479" s="1" t="s">
        <v>512</v>
      </c>
    </row>
    <row r="480" spans="1:8" ht="15" thickBot="1" x14ac:dyDescent="0.35">
      <c r="A480" s="1" t="s">
        <v>479</v>
      </c>
      <c r="B480" s="2">
        <v>46136</v>
      </c>
      <c r="C480" s="1" t="s">
        <v>521</v>
      </c>
      <c r="D480" s="1" t="s">
        <v>519</v>
      </c>
      <c r="E480" s="3">
        <v>40</v>
      </c>
      <c r="F480" s="3">
        <v>1</v>
      </c>
      <c r="G480" s="3">
        <v>40</v>
      </c>
      <c r="H480" s="1" t="s">
        <v>514</v>
      </c>
    </row>
    <row r="481" spans="1:8" ht="15" thickBot="1" x14ac:dyDescent="0.35">
      <c r="A481" s="1" t="s">
        <v>480</v>
      </c>
      <c r="B481" s="2">
        <v>46137</v>
      </c>
      <c r="C481" s="1" t="s">
        <v>522</v>
      </c>
      <c r="D481" s="1" t="s">
        <v>523</v>
      </c>
      <c r="E481" s="3">
        <v>10</v>
      </c>
      <c r="F481" s="3">
        <v>6</v>
      </c>
      <c r="G481" s="3">
        <v>60</v>
      </c>
      <c r="H481" s="1" t="s">
        <v>517</v>
      </c>
    </row>
    <row r="482" spans="1:8" ht="15" thickBot="1" x14ac:dyDescent="0.35">
      <c r="A482" s="1" t="s">
        <v>481</v>
      </c>
      <c r="B482" s="2">
        <v>46138</v>
      </c>
      <c r="C482" s="1" t="s">
        <v>508</v>
      </c>
      <c r="D482" s="1" t="s">
        <v>509</v>
      </c>
      <c r="E482" s="3">
        <v>14</v>
      </c>
      <c r="F482" s="3">
        <v>5</v>
      </c>
      <c r="G482" s="3">
        <v>70</v>
      </c>
      <c r="H482" s="1" t="s">
        <v>510</v>
      </c>
    </row>
    <row r="483" spans="1:8" ht="15" thickBot="1" x14ac:dyDescent="0.35">
      <c r="A483" s="1" t="s">
        <v>482</v>
      </c>
      <c r="B483" s="2">
        <v>46139</v>
      </c>
      <c r="C483" s="1" t="s">
        <v>511</v>
      </c>
      <c r="D483" s="1" t="s">
        <v>509</v>
      </c>
      <c r="E483" s="3">
        <v>21</v>
      </c>
      <c r="F483" s="3">
        <v>4</v>
      </c>
      <c r="G483" s="3">
        <v>84</v>
      </c>
      <c r="H483" s="1" t="s">
        <v>512</v>
      </c>
    </row>
    <row r="484" spans="1:8" ht="27.6" thickBot="1" x14ac:dyDescent="0.35">
      <c r="A484" s="1" t="s">
        <v>483</v>
      </c>
      <c r="B484" s="2">
        <v>46140</v>
      </c>
      <c r="C484" s="1" t="s">
        <v>513</v>
      </c>
      <c r="D484" s="1" t="s">
        <v>509</v>
      </c>
      <c r="E484" s="3">
        <v>12</v>
      </c>
      <c r="F484" s="3">
        <v>5.5</v>
      </c>
      <c r="G484" s="3">
        <v>66</v>
      </c>
      <c r="H484" s="1" t="s">
        <v>514</v>
      </c>
    </row>
    <row r="485" spans="1:8" ht="15" thickBot="1" x14ac:dyDescent="0.35">
      <c r="A485" s="1" t="s">
        <v>484</v>
      </c>
      <c r="B485" s="2">
        <v>46141</v>
      </c>
      <c r="C485" s="1" t="s">
        <v>515</v>
      </c>
      <c r="D485" s="1" t="s">
        <v>516</v>
      </c>
      <c r="E485" s="3">
        <v>7</v>
      </c>
      <c r="F485" s="3">
        <v>20</v>
      </c>
      <c r="G485" s="3">
        <v>140</v>
      </c>
      <c r="H485" s="1" t="s">
        <v>517</v>
      </c>
    </row>
    <row r="486" spans="1:8" ht="27.6" thickBot="1" x14ac:dyDescent="0.35">
      <c r="A486" s="1" t="s">
        <v>485</v>
      </c>
      <c r="B486" s="2">
        <v>46142</v>
      </c>
      <c r="C486" s="1" t="s">
        <v>518</v>
      </c>
      <c r="D486" s="1" t="s">
        <v>519</v>
      </c>
      <c r="E486" s="3">
        <v>32</v>
      </c>
      <c r="F486" s="3">
        <v>2.5</v>
      </c>
      <c r="G486" s="3">
        <v>80</v>
      </c>
      <c r="H486" s="1" t="s">
        <v>510</v>
      </c>
    </row>
    <row r="487" spans="1:8" ht="15" thickBot="1" x14ac:dyDescent="0.35">
      <c r="A487" s="1" t="s">
        <v>486</v>
      </c>
      <c r="B487" s="2">
        <v>46143</v>
      </c>
      <c r="C487" s="1" t="s">
        <v>520</v>
      </c>
      <c r="D487" s="1" t="s">
        <v>516</v>
      </c>
      <c r="E487" s="3">
        <v>9</v>
      </c>
      <c r="F487" s="3">
        <v>18</v>
      </c>
      <c r="G487" s="3">
        <v>162</v>
      </c>
      <c r="H487" s="1" t="s">
        <v>512</v>
      </c>
    </row>
    <row r="488" spans="1:8" ht="15" thickBot="1" x14ac:dyDescent="0.35">
      <c r="A488" s="1" t="s">
        <v>487</v>
      </c>
      <c r="B488" s="2">
        <v>46144</v>
      </c>
      <c r="C488" s="1" t="s">
        <v>521</v>
      </c>
      <c r="D488" s="1" t="s">
        <v>519</v>
      </c>
      <c r="E488" s="3">
        <v>60</v>
      </c>
      <c r="F488" s="3">
        <v>1</v>
      </c>
      <c r="G488" s="3">
        <v>60</v>
      </c>
      <c r="H488" s="1" t="s">
        <v>514</v>
      </c>
    </row>
    <row r="489" spans="1:8" ht="15" thickBot="1" x14ac:dyDescent="0.35">
      <c r="A489" s="1" t="s">
        <v>488</v>
      </c>
      <c r="B489" s="2">
        <v>46145</v>
      </c>
      <c r="C489" s="1" t="s">
        <v>522</v>
      </c>
      <c r="D489" s="1" t="s">
        <v>523</v>
      </c>
      <c r="E489" s="3">
        <v>14</v>
      </c>
      <c r="F489" s="3">
        <v>6</v>
      </c>
      <c r="G489" s="3">
        <v>84</v>
      </c>
      <c r="H489" s="1" t="s">
        <v>517</v>
      </c>
    </row>
    <row r="490" spans="1:8" ht="15" thickBot="1" x14ac:dyDescent="0.35">
      <c r="A490" s="1" t="s">
        <v>489</v>
      </c>
      <c r="B490" s="2">
        <v>46146</v>
      </c>
      <c r="C490" s="1" t="s">
        <v>508</v>
      </c>
      <c r="D490" s="1" t="s">
        <v>509</v>
      </c>
      <c r="E490" s="3">
        <v>18</v>
      </c>
      <c r="F490" s="3">
        <v>5</v>
      </c>
      <c r="G490" s="3">
        <v>90</v>
      </c>
      <c r="H490" s="1" t="s">
        <v>510</v>
      </c>
    </row>
    <row r="491" spans="1:8" ht="15" thickBot="1" x14ac:dyDescent="0.35">
      <c r="A491" s="1" t="s">
        <v>490</v>
      </c>
      <c r="B491" s="2">
        <v>46147</v>
      </c>
      <c r="C491" s="1" t="s">
        <v>511</v>
      </c>
      <c r="D491" s="1" t="s">
        <v>509</v>
      </c>
      <c r="E491" s="3">
        <v>26</v>
      </c>
      <c r="F491" s="3">
        <v>4</v>
      </c>
      <c r="G491" s="3">
        <v>104</v>
      </c>
      <c r="H491" s="1" t="s">
        <v>512</v>
      </c>
    </row>
    <row r="492" spans="1:8" ht="27.6" thickBot="1" x14ac:dyDescent="0.35">
      <c r="A492" s="1" t="s">
        <v>491</v>
      </c>
      <c r="B492" s="2">
        <v>46148</v>
      </c>
      <c r="C492" s="1" t="s">
        <v>513</v>
      </c>
      <c r="D492" s="1" t="s">
        <v>509</v>
      </c>
      <c r="E492" s="3">
        <v>15</v>
      </c>
      <c r="F492" s="3">
        <v>5.5</v>
      </c>
      <c r="G492" s="3">
        <v>82.5</v>
      </c>
      <c r="H492" s="1" t="s">
        <v>514</v>
      </c>
    </row>
    <row r="493" spans="1:8" ht="15" thickBot="1" x14ac:dyDescent="0.35">
      <c r="A493" s="1" t="s">
        <v>492</v>
      </c>
      <c r="B493" s="2">
        <v>46149</v>
      </c>
      <c r="C493" s="1" t="s">
        <v>515</v>
      </c>
      <c r="D493" s="1" t="s">
        <v>516</v>
      </c>
      <c r="E493" s="3">
        <v>9</v>
      </c>
      <c r="F493" s="3">
        <v>20</v>
      </c>
      <c r="G493" s="3">
        <v>180</v>
      </c>
      <c r="H493" s="1" t="s">
        <v>517</v>
      </c>
    </row>
    <row r="494" spans="1:8" ht="27.6" thickBot="1" x14ac:dyDescent="0.35">
      <c r="A494" s="1" t="s">
        <v>493</v>
      </c>
      <c r="B494" s="2">
        <v>46150</v>
      </c>
      <c r="C494" s="1" t="s">
        <v>518</v>
      </c>
      <c r="D494" s="1" t="s">
        <v>519</v>
      </c>
      <c r="E494" s="3">
        <v>42</v>
      </c>
      <c r="F494" s="3">
        <v>2.5</v>
      </c>
      <c r="G494" s="3">
        <v>105</v>
      </c>
      <c r="H494" s="1" t="s">
        <v>510</v>
      </c>
    </row>
    <row r="495" spans="1:8" ht="15" thickBot="1" x14ac:dyDescent="0.35">
      <c r="A495" s="1" t="s">
        <v>494</v>
      </c>
      <c r="B495" s="2">
        <v>46151</v>
      </c>
      <c r="C495" s="1" t="s">
        <v>520</v>
      </c>
      <c r="D495" s="1" t="s">
        <v>516</v>
      </c>
      <c r="E495" s="3">
        <v>12</v>
      </c>
      <c r="F495" s="3">
        <v>18</v>
      </c>
      <c r="G495" s="3">
        <v>216</v>
      </c>
      <c r="H495" s="1" t="s">
        <v>512</v>
      </c>
    </row>
    <row r="496" spans="1:8" ht="15" thickBot="1" x14ac:dyDescent="0.35">
      <c r="A496" s="1" t="s">
        <v>495</v>
      </c>
      <c r="B496" s="2">
        <v>46152</v>
      </c>
      <c r="C496" s="1" t="s">
        <v>521</v>
      </c>
      <c r="D496" s="1" t="s">
        <v>519</v>
      </c>
      <c r="E496" s="3">
        <v>80</v>
      </c>
      <c r="F496" s="3">
        <v>1</v>
      </c>
      <c r="G496" s="3">
        <v>80</v>
      </c>
      <c r="H496" s="1" t="s">
        <v>514</v>
      </c>
    </row>
    <row r="497" spans="1:8" ht="15" thickBot="1" x14ac:dyDescent="0.35">
      <c r="A497" s="1" t="s">
        <v>496</v>
      </c>
      <c r="B497" s="2">
        <v>46153</v>
      </c>
      <c r="C497" s="1" t="s">
        <v>522</v>
      </c>
      <c r="D497" s="1" t="s">
        <v>523</v>
      </c>
      <c r="E497" s="3">
        <v>17</v>
      </c>
      <c r="F497" s="3">
        <v>6</v>
      </c>
      <c r="G497" s="3">
        <v>102</v>
      </c>
      <c r="H497" s="1" t="s">
        <v>517</v>
      </c>
    </row>
    <row r="498" spans="1:8" ht="15" thickBot="1" x14ac:dyDescent="0.35">
      <c r="A498" s="1" t="s">
        <v>497</v>
      </c>
      <c r="B498" s="2">
        <v>46154</v>
      </c>
      <c r="C498" s="1" t="s">
        <v>508</v>
      </c>
      <c r="D498" s="1" t="s">
        <v>509</v>
      </c>
      <c r="E498" s="3">
        <v>22</v>
      </c>
      <c r="F498" s="3">
        <v>5</v>
      </c>
      <c r="G498" s="3">
        <v>110</v>
      </c>
      <c r="H498" s="1" t="s">
        <v>510</v>
      </c>
    </row>
    <row r="499" spans="1:8" ht="15" thickBot="1" x14ac:dyDescent="0.35">
      <c r="A499" s="1" t="s">
        <v>498</v>
      </c>
      <c r="B499" s="2">
        <v>46155</v>
      </c>
      <c r="C499" s="1" t="s">
        <v>511</v>
      </c>
      <c r="D499" s="1" t="s">
        <v>509</v>
      </c>
      <c r="E499" s="3">
        <v>32</v>
      </c>
      <c r="F499" s="3">
        <v>4</v>
      </c>
      <c r="G499" s="3">
        <v>128</v>
      </c>
      <c r="H499" s="1" t="s">
        <v>512</v>
      </c>
    </row>
    <row r="500" spans="1:8" ht="27.6" thickBot="1" x14ac:dyDescent="0.35">
      <c r="A500" s="1" t="s">
        <v>499</v>
      </c>
      <c r="B500" s="2">
        <v>46156</v>
      </c>
      <c r="C500" s="1" t="s">
        <v>513</v>
      </c>
      <c r="D500" s="1" t="s">
        <v>509</v>
      </c>
      <c r="E500" s="3">
        <v>18</v>
      </c>
      <c r="F500" s="3">
        <v>5.5</v>
      </c>
      <c r="G500" s="3">
        <v>99</v>
      </c>
      <c r="H500" s="1" t="s">
        <v>514</v>
      </c>
    </row>
    <row r="501" spans="1:8" ht="15" thickBot="1" x14ac:dyDescent="0.35">
      <c r="A501" s="1" t="s">
        <v>500</v>
      </c>
      <c r="B501" s="2">
        <v>46157</v>
      </c>
      <c r="C501" s="1" t="s">
        <v>515</v>
      </c>
      <c r="D501" s="1" t="s">
        <v>516</v>
      </c>
      <c r="E501" s="3">
        <v>11</v>
      </c>
      <c r="F501" s="3">
        <v>20</v>
      </c>
      <c r="G501" s="3">
        <v>220</v>
      </c>
      <c r="H501" s="1" t="s">
        <v>517</v>
      </c>
    </row>
    <row r="502" spans="1:8" ht="15" thickBot="1" x14ac:dyDescent="0.35">
      <c r="A502" s="1"/>
      <c r="B502" s="1"/>
      <c r="C502" s="1"/>
      <c r="D502" s="1"/>
      <c r="E502" s="1"/>
      <c r="F502" s="1"/>
      <c r="G502" s="1"/>
      <c r="H502" s="1"/>
    </row>
    <row r="503" spans="1:8" ht="15" thickBot="1" x14ac:dyDescent="0.35">
      <c r="A503" s="1"/>
      <c r="B503" s="1"/>
      <c r="C503" s="1"/>
      <c r="D503" s="1"/>
      <c r="E503" s="1"/>
      <c r="F503" s="1"/>
      <c r="G503" s="1"/>
      <c r="H503" s="1"/>
    </row>
    <row r="504" spans="1:8" ht="15" thickBot="1" x14ac:dyDescent="0.35">
      <c r="A504" s="1"/>
      <c r="B504" s="1"/>
      <c r="C504" s="1"/>
      <c r="D504" s="1"/>
      <c r="E504" s="1"/>
      <c r="F504" s="1"/>
      <c r="G504" s="1"/>
      <c r="H504" s="1"/>
    </row>
    <row r="505" spans="1:8" ht="15" thickBot="1" x14ac:dyDescent="0.35">
      <c r="A505" s="1"/>
      <c r="B505" s="1"/>
      <c r="C505" s="1"/>
      <c r="D505" s="1"/>
      <c r="E505" s="1"/>
      <c r="F505" s="1"/>
      <c r="G505" s="1"/>
      <c r="H505" s="1"/>
    </row>
    <row r="506" spans="1:8" ht="15" thickBot="1" x14ac:dyDescent="0.35">
      <c r="A506" s="1"/>
      <c r="B506" s="1"/>
      <c r="C506" s="1"/>
      <c r="D506" s="1"/>
      <c r="E506" s="1"/>
      <c r="F506" s="1"/>
      <c r="G506" s="1"/>
      <c r="H506" s="1"/>
    </row>
    <row r="507" spans="1:8" ht="15" thickBot="1" x14ac:dyDescent="0.35">
      <c r="A507" s="1"/>
      <c r="B507" s="1"/>
      <c r="C507" s="1"/>
      <c r="D507" s="1"/>
      <c r="E507" s="1"/>
      <c r="F507" s="1"/>
      <c r="G507" s="1"/>
      <c r="H507" s="1"/>
    </row>
    <row r="508" spans="1:8" ht="15" thickBot="1" x14ac:dyDescent="0.35">
      <c r="A508" s="1"/>
      <c r="B508" s="1"/>
      <c r="C508" s="1"/>
      <c r="D508" s="1"/>
      <c r="E508" s="1"/>
      <c r="F508" s="1"/>
      <c r="G508" s="1"/>
      <c r="H508" s="1"/>
    </row>
    <row r="509" spans="1:8" ht="15" thickBot="1" x14ac:dyDescent="0.35">
      <c r="A509" s="1"/>
      <c r="B509" s="1"/>
      <c r="C509" s="1"/>
      <c r="D509" s="1"/>
      <c r="E509" s="1"/>
      <c r="F509" s="1"/>
      <c r="G509" s="1"/>
      <c r="H509" s="1"/>
    </row>
    <row r="510" spans="1:8" ht="15" thickBot="1" x14ac:dyDescent="0.35">
      <c r="A510" s="1"/>
      <c r="B510" s="1"/>
      <c r="C510" s="1"/>
      <c r="D510" s="1"/>
      <c r="E510" s="1"/>
      <c r="F510" s="1"/>
      <c r="G510" s="1"/>
      <c r="H510" s="1"/>
    </row>
    <row r="511" spans="1:8" ht="15" thickBot="1" x14ac:dyDescent="0.35">
      <c r="A511" s="1"/>
      <c r="B511" s="1"/>
      <c r="C511" s="1"/>
      <c r="D511" s="1"/>
      <c r="E511" s="1"/>
      <c r="F511" s="1"/>
      <c r="G511" s="1"/>
      <c r="H511" s="1"/>
    </row>
    <row r="512" spans="1:8" ht="15" thickBot="1" x14ac:dyDescent="0.35">
      <c r="A512" s="1"/>
      <c r="B512" s="1"/>
      <c r="C512" s="1"/>
      <c r="D512" s="1"/>
      <c r="E512" s="1"/>
      <c r="F512" s="1"/>
      <c r="G512" s="1"/>
      <c r="H512" s="1"/>
    </row>
    <row r="513" spans="1:8" ht="15" thickBot="1" x14ac:dyDescent="0.35">
      <c r="A513" s="1"/>
      <c r="B513" s="1"/>
      <c r="C513" s="1"/>
      <c r="D513" s="1"/>
      <c r="E513" s="1"/>
      <c r="F513" s="1"/>
      <c r="G513" s="1"/>
      <c r="H513" s="1"/>
    </row>
    <row r="514" spans="1:8" ht="15" thickBot="1" x14ac:dyDescent="0.35">
      <c r="A514" s="1"/>
      <c r="B514" s="1"/>
      <c r="C514" s="1"/>
      <c r="D514" s="1"/>
      <c r="E514" s="1"/>
      <c r="F514" s="1"/>
      <c r="G514" s="1"/>
      <c r="H514" s="1"/>
    </row>
    <row r="515" spans="1:8" ht="15" thickBot="1" x14ac:dyDescent="0.35">
      <c r="A515" s="1"/>
      <c r="B515" s="1"/>
      <c r="C515" s="1"/>
      <c r="D515" s="1"/>
      <c r="E515" s="1"/>
      <c r="F515" s="1"/>
      <c r="G515" s="1"/>
      <c r="H515" s="1"/>
    </row>
    <row r="516" spans="1:8" ht="15" thickBot="1" x14ac:dyDescent="0.35">
      <c r="A516" s="1"/>
      <c r="B516" s="1"/>
      <c r="C516" s="1"/>
      <c r="D516" s="1"/>
      <c r="E516" s="1"/>
      <c r="F516" s="1"/>
      <c r="G516" s="1"/>
      <c r="H516" s="1"/>
    </row>
    <row r="517" spans="1:8" ht="15" thickBot="1" x14ac:dyDescent="0.35">
      <c r="A517" s="1"/>
      <c r="B517" s="1"/>
      <c r="C517" s="1"/>
      <c r="D517" s="1"/>
      <c r="E517" s="1"/>
      <c r="F517" s="1"/>
      <c r="G517" s="1"/>
      <c r="H517" s="1"/>
    </row>
    <row r="518" spans="1:8" ht="15" thickBot="1" x14ac:dyDescent="0.35">
      <c r="A518" s="1"/>
      <c r="B518" s="1"/>
      <c r="C518" s="1"/>
      <c r="D518" s="1"/>
      <c r="E518" s="1"/>
      <c r="F518" s="1"/>
      <c r="G518" s="1"/>
      <c r="H518" s="1"/>
    </row>
    <row r="519" spans="1:8" ht="15" thickBot="1" x14ac:dyDescent="0.35">
      <c r="A519" s="1"/>
      <c r="B519" s="1"/>
      <c r="C519" s="1"/>
      <c r="D519" s="1"/>
      <c r="E519" s="1"/>
      <c r="F519" s="1"/>
      <c r="G519" s="1"/>
      <c r="H519" s="1"/>
    </row>
    <row r="520" spans="1:8" ht="15" thickBot="1" x14ac:dyDescent="0.35">
      <c r="A520" s="1"/>
      <c r="B520" s="1"/>
      <c r="C520" s="1"/>
      <c r="D520" s="1"/>
      <c r="E520" s="1"/>
      <c r="F520" s="1"/>
      <c r="G520" s="1"/>
      <c r="H520" s="1"/>
    </row>
    <row r="521" spans="1:8" ht="15" thickBot="1" x14ac:dyDescent="0.35">
      <c r="A521" s="1"/>
      <c r="B521" s="1"/>
      <c r="C521" s="1"/>
      <c r="D521" s="1"/>
      <c r="E521" s="1"/>
      <c r="F521" s="1"/>
      <c r="G521" s="1"/>
      <c r="H521" s="1"/>
    </row>
    <row r="522" spans="1:8" ht="15" thickBot="1" x14ac:dyDescent="0.35">
      <c r="A522" s="1"/>
      <c r="B522" s="1"/>
      <c r="C522" s="1"/>
      <c r="D522" s="1"/>
      <c r="E522" s="1"/>
      <c r="F522" s="1"/>
      <c r="G522" s="1"/>
      <c r="H522" s="1"/>
    </row>
    <row r="523" spans="1:8" ht="15" thickBot="1" x14ac:dyDescent="0.35">
      <c r="A523" s="1"/>
      <c r="B523" s="1"/>
      <c r="C523" s="1"/>
      <c r="D523" s="1"/>
      <c r="E523" s="1"/>
      <c r="F523" s="1"/>
      <c r="G523" s="1"/>
      <c r="H523" s="1"/>
    </row>
    <row r="524" spans="1:8" ht="15" thickBot="1" x14ac:dyDescent="0.35">
      <c r="A524" s="1"/>
      <c r="B524" s="1"/>
      <c r="C524" s="1"/>
      <c r="D524" s="1"/>
      <c r="E524" s="1"/>
      <c r="F524" s="1"/>
      <c r="G524" s="1"/>
      <c r="H524" s="1"/>
    </row>
    <row r="525" spans="1:8" ht="15" thickBot="1" x14ac:dyDescent="0.35">
      <c r="A525" s="1"/>
      <c r="B525" s="1"/>
      <c r="C525" s="1"/>
      <c r="D525" s="1"/>
      <c r="E525" s="1"/>
      <c r="F525" s="1"/>
      <c r="G525" s="1"/>
      <c r="H525" s="1"/>
    </row>
    <row r="526" spans="1:8" ht="15" thickBot="1" x14ac:dyDescent="0.35">
      <c r="A526" s="1"/>
      <c r="B526" s="1"/>
      <c r="C526" s="1"/>
      <c r="D526" s="1"/>
      <c r="E526" s="1"/>
      <c r="F526" s="1"/>
      <c r="G526" s="1"/>
      <c r="H526" s="1"/>
    </row>
    <row r="527" spans="1:8" ht="15" thickBot="1" x14ac:dyDescent="0.35">
      <c r="A527" s="1"/>
      <c r="B527" s="1"/>
      <c r="C527" s="1"/>
      <c r="D527" s="1"/>
      <c r="E527" s="1"/>
      <c r="F527" s="1"/>
      <c r="G527" s="1"/>
      <c r="H527" s="1"/>
    </row>
    <row r="528" spans="1:8" ht="15" thickBot="1" x14ac:dyDescent="0.35">
      <c r="A528" s="1"/>
      <c r="B528" s="1"/>
      <c r="C528" s="1"/>
      <c r="D528" s="1"/>
      <c r="E528" s="1"/>
      <c r="F528" s="1"/>
      <c r="G528" s="1"/>
      <c r="H528" s="1"/>
    </row>
    <row r="529" spans="1:8" ht="15" thickBot="1" x14ac:dyDescent="0.35">
      <c r="A529" s="1"/>
      <c r="B529" s="1"/>
      <c r="C529" s="1"/>
      <c r="D529" s="1"/>
      <c r="E529" s="1"/>
      <c r="F529" s="1"/>
      <c r="G529" s="1"/>
      <c r="H529" s="1"/>
    </row>
    <row r="530" spans="1:8" ht="15" thickBot="1" x14ac:dyDescent="0.35">
      <c r="A530" s="1"/>
      <c r="B530" s="1"/>
      <c r="C530" s="1"/>
      <c r="D530" s="1"/>
      <c r="E530" s="1"/>
      <c r="F530" s="1"/>
      <c r="G530" s="1"/>
      <c r="H530" s="1"/>
    </row>
    <row r="531" spans="1:8" ht="15" thickBot="1" x14ac:dyDescent="0.35">
      <c r="A531" s="1"/>
      <c r="B531" s="1"/>
      <c r="C531" s="1"/>
      <c r="D531" s="1"/>
      <c r="E531" s="1"/>
      <c r="F531" s="1"/>
      <c r="G531" s="1"/>
      <c r="H531" s="1"/>
    </row>
    <row r="532" spans="1:8" ht="15" thickBot="1" x14ac:dyDescent="0.35">
      <c r="A532" s="1"/>
      <c r="B532" s="1"/>
      <c r="C532" s="1"/>
      <c r="D532" s="1"/>
      <c r="E532" s="1"/>
      <c r="F532" s="1"/>
      <c r="G532" s="1"/>
      <c r="H532" s="1"/>
    </row>
    <row r="533" spans="1:8" ht="15" thickBot="1" x14ac:dyDescent="0.35">
      <c r="A533" s="1"/>
      <c r="B533" s="1"/>
      <c r="C533" s="1"/>
      <c r="D533" s="1"/>
      <c r="E533" s="1"/>
      <c r="F533" s="1"/>
      <c r="G533" s="1"/>
      <c r="H533" s="1"/>
    </row>
    <row r="534" spans="1:8" ht="15" thickBot="1" x14ac:dyDescent="0.35">
      <c r="A534" s="1"/>
      <c r="B534" s="1"/>
      <c r="C534" s="1"/>
      <c r="D534" s="1"/>
      <c r="E534" s="1"/>
      <c r="F534" s="1"/>
      <c r="G534" s="1"/>
      <c r="H534" s="1"/>
    </row>
    <row r="535" spans="1:8" ht="15" thickBot="1" x14ac:dyDescent="0.35">
      <c r="A535" s="1"/>
      <c r="B535" s="1"/>
      <c r="C535" s="1"/>
      <c r="D535" s="1"/>
      <c r="E535" s="1"/>
      <c r="F535" s="1"/>
      <c r="G535" s="1"/>
      <c r="H535" s="1"/>
    </row>
    <row r="536" spans="1:8" ht="15" thickBot="1" x14ac:dyDescent="0.35">
      <c r="A536" s="1"/>
      <c r="B536" s="1"/>
      <c r="C536" s="1"/>
      <c r="D536" s="1"/>
      <c r="E536" s="1"/>
      <c r="F536" s="1"/>
      <c r="G536" s="1"/>
      <c r="H536" s="1"/>
    </row>
    <row r="537" spans="1:8" ht="15" thickBot="1" x14ac:dyDescent="0.35">
      <c r="A537" s="1"/>
      <c r="B537" s="1"/>
      <c r="C537" s="1"/>
      <c r="D537" s="1"/>
      <c r="E537" s="1"/>
      <c r="F537" s="1"/>
      <c r="G537" s="1"/>
      <c r="H537" s="1"/>
    </row>
    <row r="538" spans="1:8" ht="15" thickBot="1" x14ac:dyDescent="0.35">
      <c r="A538" s="1"/>
      <c r="B538" s="1"/>
      <c r="C538" s="1"/>
      <c r="D538" s="1"/>
      <c r="E538" s="1"/>
      <c r="F538" s="1"/>
      <c r="G538" s="1"/>
      <c r="H538" s="1"/>
    </row>
    <row r="539" spans="1:8" ht="15" thickBot="1" x14ac:dyDescent="0.35">
      <c r="A539" s="1"/>
      <c r="B539" s="1"/>
      <c r="C539" s="1"/>
      <c r="D539" s="1"/>
      <c r="E539" s="1"/>
      <c r="F539" s="1"/>
      <c r="G539" s="1"/>
      <c r="H539" s="1"/>
    </row>
    <row r="540" spans="1:8" ht="15" thickBot="1" x14ac:dyDescent="0.35">
      <c r="A540" s="1"/>
      <c r="B540" s="1"/>
      <c r="C540" s="1"/>
      <c r="D540" s="1"/>
      <c r="E540" s="1"/>
      <c r="F540" s="1"/>
      <c r="G540" s="1"/>
      <c r="H540" s="1"/>
    </row>
    <row r="541" spans="1:8" ht="15" thickBot="1" x14ac:dyDescent="0.35">
      <c r="A541" s="1"/>
      <c r="B541" s="1"/>
      <c r="C541" s="1"/>
      <c r="D541" s="1"/>
      <c r="E541" s="1"/>
      <c r="F541" s="1"/>
      <c r="G541" s="1"/>
      <c r="H541" s="1"/>
    </row>
    <row r="542" spans="1:8" ht="15" thickBot="1" x14ac:dyDescent="0.35">
      <c r="A542" s="1"/>
      <c r="B542" s="1"/>
      <c r="C542" s="1"/>
      <c r="D542" s="1"/>
      <c r="E542" s="1"/>
      <c r="F542" s="1"/>
      <c r="G542" s="1"/>
      <c r="H542" s="1"/>
    </row>
    <row r="543" spans="1:8" ht="15" thickBot="1" x14ac:dyDescent="0.35">
      <c r="A543" s="1"/>
      <c r="B543" s="1"/>
      <c r="C543" s="1"/>
      <c r="D543" s="1"/>
      <c r="E543" s="1"/>
      <c r="F543" s="1"/>
      <c r="G543" s="1"/>
      <c r="H543" s="1"/>
    </row>
    <row r="544" spans="1:8" ht="15" thickBot="1" x14ac:dyDescent="0.35">
      <c r="A544" s="1"/>
      <c r="B544" s="1"/>
      <c r="C544" s="1"/>
      <c r="D544" s="1"/>
      <c r="E544" s="1"/>
      <c r="F544" s="1"/>
      <c r="G544" s="1"/>
      <c r="H544" s="1"/>
    </row>
    <row r="545" spans="1:8" ht="15" thickBot="1" x14ac:dyDescent="0.35">
      <c r="A545" s="1"/>
      <c r="B545" s="1"/>
      <c r="C545" s="1"/>
      <c r="D545" s="1"/>
      <c r="E545" s="1"/>
      <c r="F545" s="1"/>
      <c r="G545" s="1"/>
      <c r="H545" s="1"/>
    </row>
    <row r="546" spans="1:8" ht="15" thickBot="1" x14ac:dyDescent="0.35">
      <c r="A546" s="1"/>
      <c r="B546" s="1"/>
      <c r="C546" s="1"/>
      <c r="D546" s="1"/>
      <c r="E546" s="1"/>
      <c r="F546" s="1"/>
      <c r="G546" s="1"/>
      <c r="H546" s="1"/>
    </row>
    <row r="547" spans="1:8" ht="15" thickBot="1" x14ac:dyDescent="0.35">
      <c r="A547" s="1"/>
      <c r="B547" s="1"/>
      <c r="C547" s="1"/>
      <c r="D547" s="1"/>
      <c r="E547" s="1"/>
      <c r="F547" s="1"/>
      <c r="G547" s="1"/>
      <c r="H547" s="1"/>
    </row>
    <row r="548" spans="1:8" ht="15" thickBot="1" x14ac:dyDescent="0.35">
      <c r="A548" s="1"/>
      <c r="B548" s="1"/>
      <c r="C548" s="1"/>
      <c r="D548" s="1"/>
      <c r="E548" s="1"/>
      <c r="F548" s="1"/>
      <c r="G548" s="1"/>
      <c r="H548" s="1"/>
    </row>
    <row r="549" spans="1:8" ht="15" thickBot="1" x14ac:dyDescent="0.35">
      <c r="A549" s="1"/>
      <c r="B549" s="1"/>
      <c r="C549" s="1"/>
      <c r="D549" s="1"/>
      <c r="E549" s="1"/>
      <c r="F549" s="1"/>
      <c r="G549" s="1"/>
      <c r="H549" s="1"/>
    </row>
    <row r="550" spans="1:8" ht="15" thickBot="1" x14ac:dyDescent="0.35">
      <c r="A550" s="1"/>
      <c r="B550" s="1"/>
      <c r="C550" s="1"/>
      <c r="D550" s="1"/>
      <c r="E550" s="1"/>
      <c r="F550" s="1"/>
      <c r="G550" s="1"/>
      <c r="H550" s="1"/>
    </row>
    <row r="551" spans="1:8" ht="15" thickBot="1" x14ac:dyDescent="0.35">
      <c r="A551" s="1"/>
      <c r="B551" s="1"/>
      <c r="C551" s="1"/>
      <c r="D551" s="1"/>
      <c r="E551" s="1"/>
      <c r="F551" s="1"/>
      <c r="G551" s="1"/>
      <c r="H551" s="1"/>
    </row>
    <row r="552" spans="1:8" ht="15" thickBot="1" x14ac:dyDescent="0.35">
      <c r="A552" s="1"/>
      <c r="B552" s="1"/>
      <c r="C552" s="1"/>
      <c r="D552" s="1"/>
      <c r="E552" s="1"/>
      <c r="F552" s="1"/>
      <c r="G552" s="1"/>
      <c r="H552" s="1"/>
    </row>
    <row r="553" spans="1:8" ht="15" thickBot="1" x14ac:dyDescent="0.35">
      <c r="A553" s="1"/>
      <c r="B553" s="1"/>
      <c r="C553" s="1"/>
      <c r="D553" s="1"/>
      <c r="E553" s="1"/>
      <c r="F553" s="1"/>
      <c r="G553" s="1"/>
      <c r="H553" s="1"/>
    </row>
    <row r="554" spans="1:8" ht="15" thickBot="1" x14ac:dyDescent="0.35">
      <c r="A554" s="1"/>
      <c r="B554" s="1"/>
      <c r="C554" s="1"/>
      <c r="D554" s="1"/>
      <c r="E554" s="1"/>
      <c r="F554" s="1"/>
      <c r="G554" s="1"/>
      <c r="H554" s="1"/>
    </row>
    <row r="555" spans="1:8" ht="15" thickBot="1" x14ac:dyDescent="0.35">
      <c r="A555" s="1"/>
      <c r="B555" s="1"/>
      <c r="C555" s="1"/>
      <c r="D555" s="1"/>
      <c r="E555" s="1"/>
      <c r="F555" s="1"/>
      <c r="G555" s="1"/>
      <c r="H555" s="1"/>
    </row>
    <row r="556" spans="1:8" ht="15" thickBot="1" x14ac:dyDescent="0.35">
      <c r="A556" s="1"/>
      <c r="B556" s="1"/>
      <c r="C556" s="1"/>
      <c r="D556" s="1"/>
      <c r="E556" s="1"/>
      <c r="F556" s="1"/>
      <c r="G556" s="1"/>
      <c r="H556" s="1"/>
    </row>
    <row r="557" spans="1:8" ht="15" thickBot="1" x14ac:dyDescent="0.35">
      <c r="A557" s="1"/>
      <c r="B557" s="1"/>
      <c r="C557" s="1"/>
      <c r="D557" s="1"/>
      <c r="E557" s="1"/>
      <c r="F557" s="1"/>
      <c r="G557" s="1"/>
      <c r="H557" s="1"/>
    </row>
    <row r="558" spans="1:8" ht="15" thickBot="1" x14ac:dyDescent="0.35">
      <c r="A558" s="1"/>
      <c r="B558" s="1"/>
      <c r="C558" s="1"/>
      <c r="D558" s="1"/>
      <c r="E558" s="1"/>
      <c r="F558" s="1"/>
      <c r="G558" s="1"/>
      <c r="H558" s="1"/>
    </row>
    <row r="559" spans="1:8" ht="15" thickBot="1" x14ac:dyDescent="0.35">
      <c r="A559" s="1"/>
      <c r="B559" s="1"/>
      <c r="C559" s="1"/>
      <c r="D559" s="1"/>
      <c r="E559" s="1"/>
      <c r="F559" s="1"/>
      <c r="G559" s="1"/>
      <c r="H559" s="1"/>
    </row>
    <row r="560" spans="1:8" ht="15" thickBot="1" x14ac:dyDescent="0.35">
      <c r="A560" s="1"/>
      <c r="B560" s="1"/>
      <c r="C560" s="1"/>
      <c r="D560" s="1"/>
      <c r="E560" s="1"/>
      <c r="F560" s="1"/>
      <c r="G560" s="1"/>
      <c r="H560" s="1"/>
    </row>
    <row r="561" spans="1:8" ht="15" thickBot="1" x14ac:dyDescent="0.35">
      <c r="A561" s="1"/>
      <c r="B561" s="1"/>
      <c r="C561" s="1"/>
      <c r="D561" s="1"/>
      <c r="E561" s="1"/>
      <c r="F561" s="1"/>
      <c r="G561" s="1"/>
      <c r="H561" s="1"/>
    </row>
    <row r="562" spans="1:8" ht="15" thickBot="1" x14ac:dyDescent="0.35">
      <c r="A562" s="1"/>
      <c r="B562" s="1"/>
      <c r="C562" s="1"/>
      <c r="D562" s="1"/>
      <c r="E562" s="1"/>
      <c r="F562" s="1"/>
      <c r="G562" s="1"/>
      <c r="H562" s="1"/>
    </row>
    <row r="563" spans="1:8" ht="15" thickBot="1" x14ac:dyDescent="0.35">
      <c r="A563" s="1"/>
      <c r="B563" s="1"/>
      <c r="C563" s="1"/>
      <c r="D563" s="1"/>
      <c r="E563" s="1"/>
      <c r="F563" s="1"/>
      <c r="G563" s="1"/>
      <c r="H563" s="1"/>
    </row>
    <row r="564" spans="1:8" ht="15" thickBot="1" x14ac:dyDescent="0.35">
      <c r="A564" s="1"/>
      <c r="B564" s="1"/>
      <c r="C564" s="1"/>
      <c r="D564" s="1"/>
      <c r="E564" s="1"/>
      <c r="F564" s="1"/>
      <c r="G564" s="1"/>
      <c r="H564" s="1"/>
    </row>
    <row r="565" spans="1:8" ht="15" thickBot="1" x14ac:dyDescent="0.35">
      <c r="A565" s="1"/>
      <c r="B565" s="1"/>
      <c r="C565" s="1"/>
      <c r="D565" s="1"/>
      <c r="E565" s="1"/>
      <c r="F565" s="1"/>
      <c r="G565" s="1"/>
      <c r="H565" s="1"/>
    </row>
    <row r="566" spans="1:8" ht="15" thickBot="1" x14ac:dyDescent="0.35">
      <c r="A566" s="1"/>
      <c r="B566" s="1"/>
      <c r="C566" s="1"/>
      <c r="D566" s="1"/>
      <c r="E566" s="1"/>
      <c r="F566" s="1"/>
      <c r="G566" s="1"/>
      <c r="H566" s="1"/>
    </row>
    <row r="567" spans="1:8" ht="15" thickBot="1" x14ac:dyDescent="0.35">
      <c r="A567" s="1"/>
      <c r="B567" s="1"/>
      <c r="C567" s="1"/>
      <c r="D567" s="1"/>
      <c r="E567" s="1"/>
      <c r="F567" s="1"/>
      <c r="G567" s="1"/>
      <c r="H567" s="1"/>
    </row>
    <row r="568" spans="1:8" ht="15" thickBot="1" x14ac:dyDescent="0.35">
      <c r="A568" s="1"/>
      <c r="B568" s="1"/>
      <c r="C568" s="1"/>
      <c r="D568" s="1"/>
      <c r="E568" s="1"/>
      <c r="F568" s="1"/>
      <c r="G568" s="1"/>
      <c r="H568" s="1"/>
    </row>
    <row r="569" spans="1:8" ht="15" thickBot="1" x14ac:dyDescent="0.35">
      <c r="A569" s="1"/>
      <c r="B569" s="1"/>
      <c r="C569" s="1"/>
      <c r="D569" s="1"/>
      <c r="E569" s="1"/>
      <c r="F569" s="1"/>
      <c r="G569" s="1"/>
      <c r="H569" s="1"/>
    </row>
    <row r="570" spans="1:8" ht="15" thickBot="1" x14ac:dyDescent="0.35">
      <c r="A570" s="1"/>
      <c r="B570" s="1"/>
      <c r="C570" s="1"/>
      <c r="D570" s="1"/>
      <c r="E570" s="1"/>
      <c r="F570" s="1"/>
      <c r="G570" s="1"/>
      <c r="H570" s="1"/>
    </row>
    <row r="571" spans="1:8" ht="15" thickBot="1" x14ac:dyDescent="0.35">
      <c r="A571" s="1"/>
      <c r="B571" s="1"/>
      <c r="C571" s="1"/>
      <c r="D571" s="1"/>
      <c r="E571" s="1"/>
      <c r="F571" s="1"/>
      <c r="G571" s="1"/>
      <c r="H571" s="1"/>
    </row>
    <row r="572" spans="1:8" ht="15" thickBot="1" x14ac:dyDescent="0.35">
      <c r="A572" s="1"/>
      <c r="B572" s="1"/>
      <c r="C572" s="1"/>
      <c r="D572" s="1"/>
      <c r="E572" s="1"/>
      <c r="F572" s="1"/>
      <c r="G572" s="1"/>
      <c r="H572" s="1"/>
    </row>
    <row r="573" spans="1:8" ht="15" thickBot="1" x14ac:dyDescent="0.35">
      <c r="A573" s="1"/>
      <c r="B573" s="1"/>
      <c r="C573" s="1"/>
      <c r="D573" s="1"/>
      <c r="E573" s="1"/>
      <c r="F573" s="1"/>
      <c r="G573" s="1"/>
      <c r="H573" s="1"/>
    </row>
    <row r="574" spans="1:8" ht="15" thickBot="1" x14ac:dyDescent="0.35">
      <c r="A574" s="1"/>
      <c r="B574" s="1"/>
      <c r="C574" s="1"/>
      <c r="D574" s="1"/>
      <c r="E574" s="1"/>
      <c r="F574" s="1"/>
      <c r="G574" s="1"/>
      <c r="H574" s="1"/>
    </row>
    <row r="575" spans="1:8" ht="15" thickBot="1" x14ac:dyDescent="0.35">
      <c r="A575" s="1"/>
      <c r="B575" s="1"/>
      <c r="C575" s="1"/>
      <c r="D575" s="1"/>
      <c r="E575" s="1"/>
      <c r="F575" s="1"/>
      <c r="G575" s="1"/>
      <c r="H575" s="1"/>
    </row>
    <row r="576" spans="1:8" ht="15" thickBot="1" x14ac:dyDescent="0.35">
      <c r="A576" s="1"/>
      <c r="B576" s="1"/>
      <c r="C576" s="1"/>
      <c r="D576" s="1"/>
      <c r="E576" s="1"/>
      <c r="F576" s="1"/>
      <c r="G576" s="1"/>
      <c r="H576" s="1"/>
    </row>
    <row r="577" spans="1:8" ht="15" thickBot="1" x14ac:dyDescent="0.35">
      <c r="A577" s="1"/>
      <c r="B577" s="1"/>
      <c r="C577" s="1"/>
      <c r="D577" s="1"/>
      <c r="E577" s="1"/>
      <c r="F577" s="1"/>
      <c r="G577" s="1"/>
      <c r="H577" s="1"/>
    </row>
    <row r="578" spans="1:8" ht="15" thickBot="1" x14ac:dyDescent="0.35">
      <c r="A578" s="1"/>
      <c r="B578" s="1"/>
      <c r="C578" s="1"/>
      <c r="D578" s="1"/>
      <c r="E578" s="1"/>
      <c r="F578" s="1"/>
      <c r="G578" s="1"/>
      <c r="H578" s="1"/>
    </row>
    <row r="579" spans="1:8" ht="15" thickBot="1" x14ac:dyDescent="0.35">
      <c r="A579" s="1"/>
      <c r="B579" s="1"/>
      <c r="C579" s="1"/>
      <c r="D579" s="1"/>
      <c r="E579" s="1"/>
      <c r="F579" s="1"/>
      <c r="G579" s="1"/>
      <c r="H579" s="1"/>
    </row>
    <row r="580" spans="1:8" ht="15" thickBot="1" x14ac:dyDescent="0.35">
      <c r="A580" s="1"/>
      <c r="B580" s="1"/>
      <c r="C580" s="1"/>
      <c r="D580" s="1"/>
      <c r="E580" s="1"/>
      <c r="F580" s="1"/>
      <c r="G580" s="1"/>
      <c r="H580" s="1"/>
    </row>
    <row r="581" spans="1:8" ht="15" thickBot="1" x14ac:dyDescent="0.35">
      <c r="A581" s="1"/>
      <c r="B581" s="1"/>
      <c r="C581" s="1"/>
      <c r="D581" s="1"/>
      <c r="E581" s="1"/>
      <c r="F581" s="1"/>
      <c r="G581" s="1"/>
      <c r="H581" s="1"/>
    </row>
    <row r="582" spans="1:8" ht="15" thickBot="1" x14ac:dyDescent="0.35">
      <c r="A582" s="1"/>
      <c r="B582" s="1"/>
      <c r="C582" s="1"/>
      <c r="D582" s="1"/>
      <c r="E582" s="1"/>
      <c r="F582" s="1"/>
      <c r="G582" s="1"/>
      <c r="H582" s="1"/>
    </row>
    <row r="583" spans="1:8" ht="15" thickBot="1" x14ac:dyDescent="0.35">
      <c r="A583" s="1"/>
      <c r="B583" s="1"/>
      <c r="C583" s="1"/>
      <c r="D583" s="1"/>
      <c r="E583" s="1"/>
      <c r="F583" s="1"/>
      <c r="G583" s="1"/>
      <c r="H583" s="1"/>
    </row>
    <row r="584" spans="1:8" ht="15" thickBot="1" x14ac:dyDescent="0.35">
      <c r="A584" s="1"/>
      <c r="B584" s="1"/>
      <c r="C584" s="1"/>
      <c r="D584" s="1"/>
      <c r="E584" s="1"/>
      <c r="F584" s="1"/>
      <c r="G584" s="1"/>
      <c r="H584" s="1"/>
    </row>
    <row r="585" spans="1:8" ht="15" thickBot="1" x14ac:dyDescent="0.35">
      <c r="A585" s="1"/>
      <c r="B585" s="1"/>
      <c r="C585" s="1"/>
      <c r="D585" s="1"/>
      <c r="E585" s="1"/>
      <c r="F585" s="1"/>
      <c r="G585" s="1"/>
      <c r="H585" s="1"/>
    </row>
    <row r="586" spans="1:8" ht="15" thickBot="1" x14ac:dyDescent="0.35">
      <c r="A586" s="1"/>
      <c r="B586" s="1"/>
      <c r="C586" s="1"/>
      <c r="D586" s="1"/>
      <c r="E586" s="1"/>
      <c r="F586" s="1"/>
      <c r="G586" s="1"/>
      <c r="H586" s="1"/>
    </row>
    <row r="587" spans="1:8" ht="15" thickBot="1" x14ac:dyDescent="0.35">
      <c r="A587" s="1"/>
      <c r="B587" s="1"/>
      <c r="C587" s="1"/>
      <c r="D587" s="1"/>
      <c r="E587" s="1"/>
      <c r="F587" s="1"/>
      <c r="G587" s="1"/>
      <c r="H587" s="1"/>
    </row>
    <row r="588" spans="1:8" ht="15" thickBot="1" x14ac:dyDescent="0.35">
      <c r="A588" s="1"/>
      <c r="B588" s="1"/>
      <c r="C588" s="1"/>
      <c r="D588" s="1"/>
      <c r="E588" s="1"/>
      <c r="F588" s="1"/>
      <c r="G588" s="1"/>
      <c r="H588" s="1"/>
    </row>
    <row r="589" spans="1:8" ht="15" thickBot="1" x14ac:dyDescent="0.35">
      <c r="A589" s="1"/>
      <c r="B589" s="1"/>
      <c r="C589" s="1"/>
      <c r="D589" s="1"/>
      <c r="E589" s="1"/>
      <c r="F589" s="1"/>
      <c r="G589" s="1"/>
      <c r="H589" s="1"/>
    </row>
    <row r="590" spans="1:8" ht="15" thickBot="1" x14ac:dyDescent="0.35">
      <c r="A590" s="1"/>
      <c r="B590" s="1"/>
      <c r="C590" s="1"/>
      <c r="D590" s="1"/>
      <c r="E590" s="1"/>
      <c r="F590" s="1"/>
      <c r="G590" s="1"/>
      <c r="H590" s="1"/>
    </row>
    <row r="591" spans="1:8" ht="15" thickBot="1" x14ac:dyDescent="0.35">
      <c r="A591" s="1"/>
      <c r="B591" s="1"/>
      <c r="C591" s="1"/>
      <c r="D591" s="1"/>
      <c r="E591" s="1"/>
      <c r="F591" s="1"/>
      <c r="G591" s="1"/>
      <c r="H591" s="1"/>
    </row>
    <row r="592" spans="1:8" ht="15" thickBot="1" x14ac:dyDescent="0.35">
      <c r="A592" s="1"/>
      <c r="B592" s="1"/>
      <c r="C592" s="1"/>
      <c r="D592" s="1"/>
      <c r="E592" s="1"/>
      <c r="F592" s="1"/>
      <c r="G592" s="1"/>
      <c r="H592" s="1"/>
    </row>
    <row r="593" spans="1:8" ht="15" thickBot="1" x14ac:dyDescent="0.35">
      <c r="A593" s="1"/>
      <c r="B593" s="1"/>
      <c r="C593" s="1"/>
      <c r="D593" s="1"/>
      <c r="E593" s="1"/>
      <c r="F593" s="1"/>
      <c r="G593" s="1"/>
      <c r="H593" s="1"/>
    </row>
    <row r="594" spans="1:8" ht="15" thickBot="1" x14ac:dyDescent="0.35">
      <c r="A594" s="1"/>
      <c r="B594" s="1"/>
      <c r="C594" s="1"/>
      <c r="D594" s="1"/>
      <c r="E594" s="1"/>
      <c r="F594" s="1"/>
      <c r="G594" s="1"/>
      <c r="H594" s="1"/>
    </row>
    <row r="595" spans="1:8" ht="15" thickBot="1" x14ac:dyDescent="0.35">
      <c r="A595" s="1"/>
      <c r="B595" s="1"/>
      <c r="C595" s="1"/>
      <c r="D595" s="1"/>
      <c r="E595" s="1"/>
      <c r="F595" s="1"/>
      <c r="G595" s="1"/>
      <c r="H595" s="1"/>
    </row>
    <row r="596" spans="1:8" ht="15" thickBot="1" x14ac:dyDescent="0.35">
      <c r="A596" s="1"/>
      <c r="B596" s="1"/>
      <c r="C596" s="1"/>
      <c r="D596" s="1"/>
      <c r="E596" s="1"/>
      <c r="F596" s="1"/>
      <c r="G596" s="1"/>
      <c r="H596" s="1"/>
    </row>
    <row r="597" spans="1:8" ht="15" thickBot="1" x14ac:dyDescent="0.35">
      <c r="A597" s="1"/>
      <c r="B597" s="1"/>
      <c r="C597" s="1"/>
      <c r="D597" s="1"/>
      <c r="E597" s="1"/>
      <c r="F597" s="1"/>
      <c r="G597" s="1"/>
      <c r="H597" s="1"/>
    </row>
    <row r="598" spans="1:8" ht="15" thickBot="1" x14ac:dyDescent="0.35">
      <c r="A598" s="1"/>
      <c r="B598" s="1"/>
      <c r="C598" s="1"/>
      <c r="D598" s="1"/>
      <c r="E598" s="1"/>
      <c r="F598" s="1"/>
      <c r="G598" s="1"/>
      <c r="H598" s="1"/>
    </row>
    <row r="599" spans="1:8" ht="15" thickBot="1" x14ac:dyDescent="0.35">
      <c r="A599" s="1"/>
      <c r="B599" s="1"/>
      <c r="C599" s="1"/>
      <c r="D599" s="1"/>
      <c r="E599" s="1"/>
      <c r="F599" s="1"/>
      <c r="G599" s="1"/>
      <c r="H599" s="1"/>
    </row>
    <row r="600" spans="1:8" ht="15" thickBot="1" x14ac:dyDescent="0.35">
      <c r="A600" s="1"/>
      <c r="B600" s="1"/>
      <c r="C600" s="1"/>
      <c r="D600" s="1"/>
      <c r="E600" s="1"/>
      <c r="F600" s="1"/>
      <c r="G600" s="1"/>
      <c r="H600" s="1"/>
    </row>
    <row r="601" spans="1:8" ht="15" thickBot="1" x14ac:dyDescent="0.35">
      <c r="A601" s="1"/>
      <c r="B601" s="1"/>
      <c r="C601" s="1"/>
      <c r="D601" s="1"/>
      <c r="E601" s="1"/>
      <c r="F601" s="1"/>
      <c r="G601" s="1"/>
      <c r="H601" s="1"/>
    </row>
    <row r="602" spans="1:8" ht="15" thickBot="1" x14ac:dyDescent="0.35">
      <c r="A602" s="1"/>
      <c r="B602" s="1"/>
      <c r="C602" s="1"/>
      <c r="D602" s="1"/>
      <c r="E602" s="1"/>
      <c r="F602" s="1"/>
      <c r="G602" s="1"/>
      <c r="H602" s="1"/>
    </row>
    <row r="603" spans="1:8" ht="15" thickBot="1" x14ac:dyDescent="0.35">
      <c r="A603" s="1"/>
      <c r="B603" s="1"/>
      <c r="C603" s="1"/>
      <c r="D603" s="1"/>
      <c r="E603" s="1"/>
      <c r="F603" s="1"/>
      <c r="G603" s="1"/>
      <c r="H603" s="1"/>
    </row>
    <row r="604" spans="1:8" ht="15" thickBot="1" x14ac:dyDescent="0.35">
      <c r="A604" s="1"/>
      <c r="B604" s="1"/>
      <c r="C604" s="1"/>
      <c r="D604" s="1"/>
      <c r="E604" s="1"/>
      <c r="F604" s="1"/>
      <c r="G604" s="1"/>
      <c r="H604" s="1"/>
    </row>
    <row r="605" spans="1:8" ht="15" thickBot="1" x14ac:dyDescent="0.35">
      <c r="A605" s="1"/>
      <c r="B605" s="1"/>
      <c r="C605" s="1"/>
      <c r="D605" s="1"/>
      <c r="E605" s="1"/>
      <c r="F605" s="1"/>
      <c r="G605" s="1"/>
      <c r="H605" s="1"/>
    </row>
    <row r="606" spans="1:8" ht="15" thickBot="1" x14ac:dyDescent="0.35">
      <c r="A606" s="1"/>
      <c r="B606" s="1"/>
      <c r="C606" s="1"/>
      <c r="D606" s="1"/>
      <c r="E606" s="1"/>
      <c r="F606" s="1"/>
      <c r="G606" s="1"/>
      <c r="H606" s="1"/>
    </row>
    <row r="607" spans="1:8" ht="15" thickBot="1" x14ac:dyDescent="0.35">
      <c r="A607" s="1"/>
      <c r="B607" s="1"/>
      <c r="C607" s="1"/>
      <c r="D607" s="1"/>
      <c r="E607" s="1"/>
      <c r="F607" s="1"/>
      <c r="G607" s="1"/>
      <c r="H607" s="1"/>
    </row>
    <row r="608" spans="1:8" ht="15" thickBot="1" x14ac:dyDescent="0.35">
      <c r="A608" s="1"/>
      <c r="B608" s="1"/>
      <c r="C608" s="1"/>
      <c r="D608" s="1"/>
      <c r="E608" s="1"/>
      <c r="F608" s="1"/>
      <c r="G608" s="1"/>
      <c r="H608" s="1"/>
    </row>
    <row r="609" spans="1:8" ht="15" thickBot="1" x14ac:dyDescent="0.35">
      <c r="A609" s="1"/>
      <c r="B609" s="1"/>
      <c r="C609" s="1"/>
      <c r="D609" s="1"/>
      <c r="E609" s="1"/>
      <c r="F609" s="1"/>
      <c r="G609" s="1"/>
      <c r="H609" s="1"/>
    </row>
    <row r="610" spans="1:8" ht="15" thickBot="1" x14ac:dyDescent="0.35">
      <c r="A610" s="1"/>
      <c r="B610" s="1"/>
      <c r="C610" s="1"/>
      <c r="D610" s="1"/>
      <c r="E610" s="1"/>
      <c r="F610" s="1"/>
      <c r="G610" s="1"/>
      <c r="H610" s="1"/>
    </row>
    <row r="611" spans="1:8" ht="15" thickBot="1" x14ac:dyDescent="0.35">
      <c r="A611" s="1"/>
      <c r="B611" s="1"/>
      <c r="C611" s="1"/>
      <c r="D611" s="1"/>
      <c r="E611" s="1"/>
      <c r="F611" s="1"/>
      <c r="G611" s="1"/>
      <c r="H611" s="1"/>
    </row>
    <row r="612" spans="1:8" ht="15" thickBot="1" x14ac:dyDescent="0.35">
      <c r="A612" s="1"/>
      <c r="B612" s="1"/>
      <c r="C612" s="1"/>
      <c r="D612" s="1"/>
      <c r="E612" s="1"/>
      <c r="F612" s="1"/>
      <c r="G612" s="1"/>
      <c r="H612" s="1"/>
    </row>
    <row r="613" spans="1:8" ht="15" thickBot="1" x14ac:dyDescent="0.35">
      <c r="A613" s="1"/>
      <c r="B613" s="1"/>
      <c r="C613" s="1"/>
      <c r="D613" s="1"/>
      <c r="E613" s="1"/>
      <c r="F613" s="1"/>
      <c r="G613" s="1"/>
      <c r="H613" s="1"/>
    </row>
    <row r="614" spans="1:8" ht="15" thickBot="1" x14ac:dyDescent="0.35">
      <c r="A614" s="1"/>
      <c r="B614" s="1"/>
      <c r="C614" s="1"/>
      <c r="D614" s="1"/>
      <c r="E614" s="1"/>
      <c r="F614" s="1"/>
      <c r="G614" s="1"/>
      <c r="H614" s="1"/>
    </row>
    <row r="615" spans="1:8" ht="15" thickBot="1" x14ac:dyDescent="0.35">
      <c r="A615" s="1"/>
      <c r="B615" s="1"/>
      <c r="C615" s="1"/>
      <c r="D615" s="1"/>
      <c r="E615" s="1"/>
      <c r="F615" s="1"/>
      <c r="G615" s="1"/>
      <c r="H615" s="1"/>
    </row>
    <row r="616" spans="1:8" ht="15" thickBot="1" x14ac:dyDescent="0.35">
      <c r="A616" s="1"/>
      <c r="B616" s="1"/>
      <c r="C616" s="1"/>
      <c r="D616" s="1"/>
      <c r="E616" s="1"/>
      <c r="F616" s="1"/>
      <c r="G616" s="1"/>
      <c r="H616" s="1"/>
    </row>
    <row r="617" spans="1:8" ht="15" thickBot="1" x14ac:dyDescent="0.35">
      <c r="A617" s="1"/>
      <c r="B617" s="1"/>
      <c r="C617" s="1"/>
      <c r="D617" s="1"/>
      <c r="E617" s="1"/>
      <c r="F617" s="1"/>
      <c r="G617" s="1"/>
      <c r="H617" s="1"/>
    </row>
    <row r="618" spans="1:8" ht="15" thickBot="1" x14ac:dyDescent="0.35">
      <c r="A618" s="1"/>
      <c r="B618" s="1"/>
      <c r="C618" s="1"/>
      <c r="D618" s="1"/>
      <c r="E618" s="1"/>
      <c r="F618" s="1"/>
      <c r="G618" s="1"/>
      <c r="H618" s="1"/>
    </row>
    <row r="619" spans="1:8" ht="15" thickBot="1" x14ac:dyDescent="0.35">
      <c r="A619" s="1"/>
      <c r="B619" s="1"/>
      <c r="C619" s="1"/>
      <c r="D619" s="1"/>
      <c r="E619" s="1"/>
      <c r="F619" s="1"/>
      <c r="G619" s="1"/>
      <c r="H619" s="1"/>
    </row>
    <row r="620" spans="1:8" ht="15" thickBot="1" x14ac:dyDescent="0.35">
      <c r="A620" s="1"/>
      <c r="B620" s="1"/>
      <c r="C620" s="1"/>
      <c r="D620" s="1"/>
      <c r="E620" s="1"/>
      <c r="F620" s="1"/>
      <c r="G620" s="1"/>
      <c r="H620" s="1"/>
    </row>
    <row r="621" spans="1:8" ht="15" thickBot="1" x14ac:dyDescent="0.35">
      <c r="A621" s="1"/>
      <c r="B621" s="1"/>
      <c r="C621" s="1"/>
      <c r="D621" s="1"/>
      <c r="E621" s="1"/>
      <c r="F621" s="1"/>
      <c r="G621" s="1"/>
      <c r="H621" s="1"/>
    </row>
    <row r="622" spans="1:8" ht="15" thickBot="1" x14ac:dyDescent="0.35">
      <c r="A622" s="1"/>
      <c r="B622" s="1"/>
      <c r="C622" s="1"/>
      <c r="D622" s="1"/>
      <c r="E622" s="1"/>
      <c r="F622" s="1"/>
      <c r="G622" s="1"/>
      <c r="H622" s="1"/>
    </row>
    <row r="623" spans="1:8" ht="15" thickBot="1" x14ac:dyDescent="0.35">
      <c r="A623" s="1"/>
      <c r="B623" s="1"/>
      <c r="C623" s="1"/>
      <c r="D623" s="1"/>
      <c r="E623" s="1"/>
      <c r="F623" s="1"/>
      <c r="G623" s="1"/>
      <c r="H623" s="1"/>
    </row>
    <row r="624" spans="1:8" ht="15" thickBot="1" x14ac:dyDescent="0.35">
      <c r="A624" s="1"/>
      <c r="B624" s="1"/>
      <c r="C624" s="1"/>
      <c r="D624" s="1"/>
      <c r="E624" s="1"/>
      <c r="F624" s="1"/>
      <c r="G624" s="1"/>
      <c r="H624" s="1"/>
    </row>
    <row r="625" spans="1:8" ht="15" thickBot="1" x14ac:dyDescent="0.35">
      <c r="A625" s="1"/>
      <c r="B625" s="1"/>
      <c r="C625" s="1"/>
      <c r="D625" s="1"/>
      <c r="E625" s="1"/>
      <c r="F625" s="1"/>
      <c r="G625" s="1"/>
      <c r="H625" s="1"/>
    </row>
    <row r="626" spans="1:8" ht="15" thickBot="1" x14ac:dyDescent="0.35">
      <c r="A626" s="1"/>
      <c r="B626" s="1"/>
      <c r="C626" s="1"/>
      <c r="D626" s="1"/>
      <c r="E626" s="1"/>
      <c r="F626" s="1"/>
      <c r="G626" s="1"/>
      <c r="H626" s="1"/>
    </row>
    <row r="627" spans="1:8" ht="15" thickBot="1" x14ac:dyDescent="0.35">
      <c r="A627" s="1"/>
      <c r="B627" s="1"/>
      <c r="C627" s="1"/>
      <c r="D627" s="1"/>
      <c r="E627" s="1"/>
      <c r="F627" s="1"/>
      <c r="G627" s="1"/>
      <c r="H627" s="1"/>
    </row>
    <row r="628" spans="1:8" ht="15" thickBot="1" x14ac:dyDescent="0.35">
      <c r="A628" s="1"/>
      <c r="B628" s="1"/>
      <c r="C628" s="1"/>
      <c r="D628" s="1"/>
      <c r="E628" s="1"/>
      <c r="F628" s="1"/>
      <c r="G628" s="1"/>
      <c r="H628" s="1"/>
    </row>
    <row r="629" spans="1:8" ht="15" thickBot="1" x14ac:dyDescent="0.35">
      <c r="A629" s="1"/>
      <c r="B629" s="1"/>
      <c r="C629" s="1"/>
      <c r="D629" s="1"/>
      <c r="E629" s="1"/>
      <c r="F629" s="1"/>
      <c r="G629" s="1"/>
      <c r="H629" s="1"/>
    </row>
    <row r="630" spans="1:8" ht="15" thickBot="1" x14ac:dyDescent="0.35">
      <c r="A630" s="1"/>
      <c r="B630" s="1"/>
      <c r="C630" s="1"/>
      <c r="D630" s="1"/>
      <c r="E630" s="1"/>
      <c r="F630" s="1"/>
      <c r="G630" s="1"/>
      <c r="H630" s="1"/>
    </row>
    <row r="631" spans="1:8" ht="15" thickBot="1" x14ac:dyDescent="0.35">
      <c r="A631" s="1"/>
      <c r="B631" s="1"/>
      <c r="C631" s="1"/>
      <c r="D631" s="1"/>
      <c r="E631" s="1"/>
      <c r="F631" s="1"/>
      <c r="G631" s="1"/>
      <c r="H631" s="1"/>
    </row>
    <row r="632" spans="1:8" ht="15" thickBot="1" x14ac:dyDescent="0.35">
      <c r="A632" s="1"/>
      <c r="B632" s="1"/>
      <c r="C632" s="1"/>
      <c r="D632" s="1"/>
      <c r="E632" s="1"/>
      <c r="F632" s="1"/>
      <c r="G632" s="1"/>
      <c r="H632" s="1"/>
    </row>
    <row r="633" spans="1:8" ht="15" thickBot="1" x14ac:dyDescent="0.35">
      <c r="A633" s="1"/>
      <c r="B633" s="1"/>
      <c r="C633" s="1"/>
      <c r="D633" s="1"/>
      <c r="E633" s="1"/>
      <c r="F633" s="1"/>
      <c r="G633" s="1"/>
      <c r="H633" s="1"/>
    </row>
    <row r="634" spans="1:8" ht="15" thickBot="1" x14ac:dyDescent="0.35">
      <c r="A634" s="1"/>
      <c r="B634" s="1"/>
      <c r="C634" s="1"/>
      <c r="D634" s="1"/>
      <c r="E634" s="1"/>
      <c r="F634" s="1"/>
      <c r="G634" s="1"/>
      <c r="H634" s="1"/>
    </row>
    <row r="635" spans="1:8" ht="15" thickBot="1" x14ac:dyDescent="0.35">
      <c r="A635" s="1"/>
      <c r="B635" s="1"/>
      <c r="C635" s="1"/>
      <c r="D635" s="1"/>
      <c r="E635" s="1"/>
      <c r="F635" s="1"/>
      <c r="G635" s="1"/>
      <c r="H635" s="1"/>
    </row>
    <row r="636" spans="1:8" ht="15" thickBot="1" x14ac:dyDescent="0.35">
      <c r="A636" s="1"/>
      <c r="B636" s="1"/>
      <c r="C636" s="1"/>
      <c r="D636" s="1"/>
      <c r="E636" s="1"/>
      <c r="F636" s="1"/>
      <c r="G636" s="1"/>
      <c r="H636" s="1"/>
    </row>
    <row r="637" spans="1:8" ht="15" thickBot="1" x14ac:dyDescent="0.35">
      <c r="A637" s="1"/>
      <c r="B637" s="1"/>
      <c r="C637" s="1"/>
      <c r="D637" s="1"/>
      <c r="E637" s="1"/>
      <c r="F637" s="1"/>
      <c r="G637" s="1"/>
      <c r="H637" s="1"/>
    </row>
    <row r="638" spans="1:8" ht="15" thickBot="1" x14ac:dyDescent="0.35">
      <c r="A638" s="1"/>
      <c r="B638" s="1"/>
      <c r="C638" s="1"/>
      <c r="D638" s="1"/>
      <c r="E638" s="1"/>
      <c r="F638" s="1"/>
      <c r="G638" s="1"/>
      <c r="H638" s="1"/>
    </row>
    <row r="639" spans="1:8" ht="15" thickBot="1" x14ac:dyDescent="0.35">
      <c r="A639" s="1"/>
      <c r="B639" s="1"/>
      <c r="C639" s="1"/>
      <c r="D639" s="1"/>
      <c r="E639" s="1"/>
      <c r="F639" s="1"/>
      <c r="G639" s="1"/>
      <c r="H639" s="1"/>
    </row>
    <row r="640" spans="1:8" ht="15" thickBot="1" x14ac:dyDescent="0.35">
      <c r="A640" s="1"/>
      <c r="B640" s="1"/>
      <c r="C640" s="1"/>
      <c r="D640" s="1"/>
      <c r="E640" s="1"/>
      <c r="F640" s="1"/>
      <c r="G640" s="1"/>
      <c r="H640" s="1"/>
    </row>
    <row r="641" spans="1:8" ht="15" thickBot="1" x14ac:dyDescent="0.35">
      <c r="A641" s="1"/>
      <c r="B641" s="1"/>
      <c r="C641" s="1"/>
      <c r="D641" s="1"/>
      <c r="E641" s="1"/>
      <c r="F641" s="1"/>
      <c r="G641" s="1"/>
      <c r="H641" s="1"/>
    </row>
    <row r="642" spans="1:8" ht="15" thickBot="1" x14ac:dyDescent="0.35">
      <c r="A642" s="1"/>
      <c r="B642" s="1"/>
      <c r="C642" s="1"/>
      <c r="D642" s="1"/>
      <c r="E642" s="1"/>
      <c r="F642" s="1"/>
      <c r="G642" s="1"/>
      <c r="H642" s="1"/>
    </row>
    <row r="643" spans="1:8" ht="15" thickBot="1" x14ac:dyDescent="0.35">
      <c r="A643" s="1"/>
      <c r="B643" s="1"/>
      <c r="C643" s="1"/>
      <c r="D643" s="1"/>
      <c r="E643" s="1"/>
      <c r="F643" s="1"/>
      <c r="G643" s="1"/>
      <c r="H643" s="1"/>
    </row>
    <row r="644" spans="1:8" ht="15" thickBot="1" x14ac:dyDescent="0.35">
      <c r="A644" s="1"/>
      <c r="B644" s="1"/>
      <c r="C644" s="1"/>
      <c r="D644" s="1"/>
      <c r="E644" s="1"/>
      <c r="F644" s="1"/>
      <c r="G644" s="1"/>
      <c r="H644" s="1"/>
    </row>
    <row r="645" spans="1:8" ht="15" thickBot="1" x14ac:dyDescent="0.35">
      <c r="A645" s="1"/>
      <c r="B645" s="1"/>
      <c r="C645" s="1"/>
      <c r="D645" s="1"/>
      <c r="E645" s="1"/>
      <c r="F645" s="1"/>
      <c r="G645" s="1"/>
      <c r="H645" s="1"/>
    </row>
    <row r="646" spans="1:8" ht="15" thickBot="1" x14ac:dyDescent="0.35">
      <c r="A646" s="1"/>
      <c r="B646" s="1"/>
      <c r="C646" s="1"/>
      <c r="D646" s="1"/>
      <c r="E646" s="1"/>
      <c r="F646" s="1"/>
      <c r="G646" s="1"/>
      <c r="H646" s="1"/>
    </row>
    <row r="647" spans="1:8" ht="15" thickBot="1" x14ac:dyDescent="0.35">
      <c r="A647" s="1"/>
      <c r="B647" s="1"/>
      <c r="C647" s="1"/>
      <c r="D647" s="1"/>
      <c r="E647" s="1"/>
      <c r="F647" s="1"/>
      <c r="G647" s="1"/>
      <c r="H647" s="1"/>
    </row>
    <row r="648" spans="1:8" ht="15" thickBot="1" x14ac:dyDescent="0.35">
      <c r="A648" s="1"/>
      <c r="B648" s="1"/>
      <c r="C648" s="1"/>
      <c r="D648" s="1"/>
      <c r="E648" s="1"/>
      <c r="F648" s="1"/>
      <c r="G648" s="1"/>
      <c r="H648" s="1"/>
    </row>
    <row r="649" spans="1:8" ht="15" thickBot="1" x14ac:dyDescent="0.35">
      <c r="A649" s="1"/>
      <c r="B649" s="1"/>
      <c r="C649" s="1"/>
      <c r="D649" s="1"/>
      <c r="E649" s="1"/>
      <c r="F649" s="1"/>
      <c r="G649" s="1"/>
      <c r="H649" s="1"/>
    </row>
    <row r="650" spans="1:8" ht="15" thickBot="1" x14ac:dyDescent="0.35">
      <c r="A650" s="1"/>
      <c r="B650" s="1"/>
      <c r="C650" s="1"/>
      <c r="D650" s="1"/>
      <c r="E650" s="1"/>
      <c r="F650" s="1"/>
      <c r="G650" s="1"/>
      <c r="H650" s="1"/>
    </row>
    <row r="651" spans="1:8" ht="15" thickBot="1" x14ac:dyDescent="0.35">
      <c r="A651" s="1"/>
      <c r="B651" s="1"/>
      <c r="C651" s="1"/>
      <c r="D651" s="1"/>
      <c r="E651" s="1"/>
      <c r="F651" s="1"/>
      <c r="G651" s="1"/>
      <c r="H651" s="1"/>
    </row>
    <row r="652" spans="1:8" ht="15" thickBot="1" x14ac:dyDescent="0.35">
      <c r="A652" s="1"/>
      <c r="B652" s="1"/>
      <c r="C652" s="1"/>
      <c r="D652" s="1"/>
      <c r="E652" s="1"/>
      <c r="F652" s="1"/>
      <c r="G652" s="1"/>
      <c r="H652" s="1"/>
    </row>
    <row r="653" spans="1:8" ht="15" thickBot="1" x14ac:dyDescent="0.35">
      <c r="A653" s="1"/>
      <c r="B653" s="1"/>
      <c r="C653" s="1"/>
      <c r="D653" s="1"/>
      <c r="E653" s="1"/>
      <c r="F653" s="1"/>
      <c r="G653" s="1"/>
      <c r="H653" s="1"/>
    </row>
    <row r="654" spans="1:8" ht="15" thickBot="1" x14ac:dyDescent="0.35">
      <c r="A654" s="1"/>
      <c r="B654" s="1"/>
      <c r="C654" s="1"/>
      <c r="D654" s="1"/>
      <c r="E654" s="1"/>
      <c r="F654" s="1"/>
      <c r="G654" s="1"/>
      <c r="H654" s="1"/>
    </row>
    <row r="655" spans="1:8" ht="15" thickBot="1" x14ac:dyDescent="0.35">
      <c r="A655" s="1"/>
      <c r="B655" s="1"/>
      <c r="C655" s="1"/>
      <c r="D655" s="1"/>
      <c r="E655" s="1"/>
      <c r="F655" s="1"/>
      <c r="G655" s="1"/>
      <c r="H655" s="1"/>
    </row>
    <row r="656" spans="1:8" ht="15" thickBot="1" x14ac:dyDescent="0.35">
      <c r="A656" s="1"/>
      <c r="B656" s="1"/>
      <c r="C656" s="1"/>
      <c r="D656" s="1"/>
      <c r="E656" s="1"/>
      <c r="F656" s="1"/>
      <c r="G656" s="1"/>
      <c r="H656" s="1"/>
    </row>
    <row r="657" spans="1:8" ht="15" thickBot="1" x14ac:dyDescent="0.35">
      <c r="A657" s="1"/>
      <c r="B657" s="1"/>
      <c r="C657" s="1"/>
      <c r="D657" s="1"/>
      <c r="E657" s="1"/>
      <c r="F657" s="1"/>
      <c r="G657" s="1"/>
      <c r="H657" s="1"/>
    </row>
    <row r="658" spans="1:8" ht="15" thickBot="1" x14ac:dyDescent="0.35">
      <c r="A658" s="1"/>
      <c r="B658" s="1"/>
      <c r="C658" s="1"/>
      <c r="D658" s="1"/>
      <c r="E658" s="1"/>
      <c r="F658" s="1"/>
      <c r="G658" s="1"/>
      <c r="H658" s="1"/>
    </row>
    <row r="659" spans="1:8" ht="15" thickBot="1" x14ac:dyDescent="0.35">
      <c r="A659" s="1"/>
      <c r="B659" s="1"/>
      <c r="C659" s="1"/>
      <c r="D659" s="1"/>
      <c r="E659" s="1"/>
      <c r="F659" s="1"/>
      <c r="G659" s="1"/>
      <c r="H659" s="1"/>
    </row>
    <row r="660" spans="1:8" ht="15" thickBot="1" x14ac:dyDescent="0.35">
      <c r="A660" s="1"/>
      <c r="B660" s="1"/>
      <c r="C660" s="1"/>
      <c r="D660" s="1"/>
      <c r="E660" s="1"/>
      <c r="F660" s="1"/>
      <c r="G660" s="1"/>
      <c r="H660" s="1"/>
    </row>
    <row r="661" spans="1:8" ht="15" thickBot="1" x14ac:dyDescent="0.35">
      <c r="A661" s="1"/>
      <c r="B661" s="1"/>
      <c r="C661" s="1"/>
      <c r="D661" s="1"/>
      <c r="E661" s="1"/>
      <c r="F661" s="1"/>
      <c r="G661" s="1"/>
      <c r="H661" s="1"/>
    </row>
    <row r="662" spans="1:8" ht="15" thickBot="1" x14ac:dyDescent="0.35">
      <c r="A662" s="1"/>
      <c r="B662" s="1"/>
      <c r="C662" s="1"/>
      <c r="D662" s="1"/>
      <c r="E662" s="1"/>
      <c r="F662" s="1"/>
      <c r="G662" s="1"/>
      <c r="H662" s="1"/>
    </row>
    <row r="663" spans="1:8" ht="15" thickBot="1" x14ac:dyDescent="0.35">
      <c r="A663" s="1"/>
      <c r="B663" s="1"/>
      <c r="C663" s="1"/>
      <c r="D663" s="1"/>
      <c r="E663" s="1"/>
      <c r="F663" s="1"/>
      <c r="G663" s="1"/>
      <c r="H663" s="1"/>
    </row>
    <row r="664" spans="1:8" ht="15" thickBot="1" x14ac:dyDescent="0.35">
      <c r="A664" s="1"/>
      <c r="B664" s="1"/>
      <c r="C664" s="1"/>
      <c r="D664" s="1"/>
      <c r="E664" s="1"/>
      <c r="F664" s="1"/>
      <c r="G664" s="1"/>
      <c r="H664" s="1"/>
    </row>
    <row r="665" spans="1:8" ht="15" thickBot="1" x14ac:dyDescent="0.35">
      <c r="A665" s="1"/>
      <c r="B665" s="1"/>
      <c r="C665" s="1"/>
      <c r="D665" s="1"/>
      <c r="E665" s="1"/>
      <c r="F665" s="1"/>
      <c r="G665" s="1"/>
      <c r="H665" s="1"/>
    </row>
    <row r="666" spans="1:8" ht="15" thickBot="1" x14ac:dyDescent="0.35">
      <c r="A666" s="1"/>
      <c r="B666" s="1"/>
      <c r="C666" s="1"/>
      <c r="D666" s="1"/>
      <c r="E666" s="1"/>
      <c r="F666" s="1"/>
      <c r="G666" s="1"/>
      <c r="H666" s="1"/>
    </row>
    <row r="667" spans="1:8" ht="15" thickBot="1" x14ac:dyDescent="0.35">
      <c r="A667" s="1"/>
      <c r="B667" s="1"/>
      <c r="C667" s="1"/>
      <c r="D667" s="1"/>
      <c r="E667" s="1"/>
      <c r="F667" s="1"/>
      <c r="G667" s="1"/>
      <c r="H667" s="1"/>
    </row>
    <row r="668" spans="1:8" ht="15" thickBot="1" x14ac:dyDescent="0.35">
      <c r="A668" s="1"/>
      <c r="B668" s="1"/>
      <c r="C668" s="1"/>
      <c r="D668" s="1"/>
      <c r="E668" s="1"/>
      <c r="F668" s="1"/>
      <c r="G668" s="1"/>
      <c r="H668" s="1"/>
    </row>
    <row r="669" spans="1:8" ht="15" thickBot="1" x14ac:dyDescent="0.35">
      <c r="A669" s="1"/>
      <c r="B669" s="1"/>
      <c r="C669" s="1"/>
      <c r="D669" s="1"/>
      <c r="E669" s="1"/>
      <c r="F669" s="1"/>
      <c r="G669" s="1"/>
      <c r="H669" s="1"/>
    </row>
    <row r="670" spans="1:8" ht="15" thickBot="1" x14ac:dyDescent="0.35">
      <c r="A670" s="1"/>
      <c r="B670" s="1"/>
      <c r="C670" s="1"/>
      <c r="D670" s="1"/>
      <c r="E670" s="1"/>
      <c r="F670" s="1"/>
      <c r="G670" s="1"/>
      <c r="H670" s="1"/>
    </row>
    <row r="671" spans="1:8" ht="15" thickBot="1" x14ac:dyDescent="0.35">
      <c r="A671" s="1"/>
      <c r="B671" s="1"/>
      <c r="C671" s="1"/>
      <c r="D671" s="1"/>
      <c r="E671" s="1"/>
      <c r="F671" s="1"/>
      <c r="G671" s="1"/>
      <c r="H671" s="1"/>
    </row>
    <row r="672" spans="1:8" ht="15" thickBot="1" x14ac:dyDescent="0.35">
      <c r="A672" s="1"/>
      <c r="B672" s="1"/>
      <c r="C672" s="1"/>
      <c r="D672" s="1"/>
      <c r="E672" s="1"/>
      <c r="F672" s="1"/>
      <c r="G672" s="1"/>
      <c r="H672" s="1"/>
    </row>
    <row r="673" spans="1:8" ht="15" thickBot="1" x14ac:dyDescent="0.35">
      <c r="A673" s="1"/>
      <c r="B673" s="1"/>
      <c r="C673" s="1"/>
      <c r="D673" s="1"/>
      <c r="E673" s="1"/>
      <c r="F673" s="1"/>
      <c r="G673" s="1"/>
      <c r="H673" s="1"/>
    </row>
    <row r="674" spans="1:8" ht="15" thickBot="1" x14ac:dyDescent="0.35">
      <c r="A674" s="1"/>
      <c r="B674" s="1"/>
      <c r="C674" s="1"/>
      <c r="D674" s="1"/>
      <c r="E674" s="1"/>
      <c r="F674" s="1"/>
      <c r="G674" s="1"/>
      <c r="H674" s="1"/>
    </row>
    <row r="675" spans="1:8" ht="15" thickBot="1" x14ac:dyDescent="0.35">
      <c r="A675" s="1"/>
      <c r="B675" s="1"/>
      <c r="C675" s="1"/>
      <c r="D675" s="1"/>
      <c r="E675" s="1"/>
      <c r="F675" s="1"/>
      <c r="G675" s="1"/>
      <c r="H675" s="1"/>
    </row>
    <row r="676" spans="1:8" ht="15" thickBot="1" x14ac:dyDescent="0.35">
      <c r="A676" s="1"/>
      <c r="B676" s="1"/>
      <c r="C676" s="1"/>
      <c r="D676" s="1"/>
      <c r="E676" s="1"/>
      <c r="F676" s="1"/>
      <c r="G676" s="1"/>
      <c r="H676" s="1"/>
    </row>
    <row r="677" spans="1:8" ht="15" thickBot="1" x14ac:dyDescent="0.35">
      <c r="A677" s="1"/>
      <c r="B677" s="1"/>
      <c r="C677" s="1"/>
      <c r="D677" s="1"/>
      <c r="E677" s="1"/>
      <c r="F677" s="1"/>
      <c r="G677" s="1"/>
      <c r="H677" s="1"/>
    </row>
    <row r="678" spans="1:8" ht="15" thickBot="1" x14ac:dyDescent="0.35">
      <c r="A678" s="1"/>
      <c r="B678" s="1"/>
      <c r="C678" s="1"/>
      <c r="D678" s="1"/>
      <c r="E678" s="1"/>
      <c r="F678" s="1"/>
      <c r="G678" s="1"/>
      <c r="H678" s="1"/>
    </row>
    <row r="679" spans="1:8" ht="15" thickBot="1" x14ac:dyDescent="0.35">
      <c r="A679" s="1"/>
      <c r="B679" s="1"/>
      <c r="C679" s="1"/>
      <c r="D679" s="1"/>
      <c r="E679" s="1"/>
      <c r="F679" s="1"/>
      <c r="G679" s="1"/>
      <c r="H679" s="1"/>
    </row>
    <row r="680" spans="1:8" ht="15" thickBot="1" x14ac:dyDescent="0.35">
      <c r="A680" s="1"/>
      <c r="B680" s="1"/>
      <c r="C680" s="1"/>
      <c r="D680" s="1"/>
      <c r="E680" s="1"/>
      <c r="F680" s="1"/>
      <c r="G680" s="1"/>
      <c r="H680" s="1"/>
    </row>
    <row r="681" spans="1:8" ht="15" thickBot="1" x14ac:dyDescent="0.35">
      <c r="A681" s="1"/>
      <c r="B681" s="1"/>
      <c r="C681" s="1"/>
      <c r="D681" s="1"/>
      <c r="E681" s="1"/>
      <c r="F681" s="1"/>
      <c r="G681" s="1"/>
      <c r="H681" s="1"/>
    </row>
    <row r="682" spans="1:8" ht="15" thickBot="1" x14ac:dyDescent="0.35">
      <c r="A682" s="1"/>
      <c r="B682" s="1"/>
      <c r="C682" s="1"/>
      <c r="D682" s="1"/>
      <c r="E682" s="1"/>
      <c r="F682" s="1"/>
      <c r="G682" s="1"/>
      <c r="H682" s="1"/>
    </row>
    <row r="683" spans="1:8" ht="15" thickBot="1" x14ac:dyDescent="0.35">
      <c r="A683" s="1"/>
      <c r="B683" s="1"/>
      <c r="C683" s="1"/>
      <c r="D683" s="1"/>
      <c r="E683" s="1"/>
      <c r="F683" s="1"/>
      <c r="G683" s="1"/>
      <c r="H683" s="1"/>
    </row>
    <row r="684" spans="1:8" ht="15" thickBot="1" x14ac:dyDescent="0.35">
      <c r="A684" s="1"/>
      <c r="B684" s="1"/>
      <c r="C684" s="1"/>
      <c r="D684" s="1"/>
      <c r="E684" s="1"/>
      <c r="F684" s="1"/>
      <c r="G684" s="1"/>
      <c r="H684" s="1"/>
    </row>
    <row r="685" spans="1:8" ht="15" thickBot="1" x14ac:dyDescent="0.35">
      <c r="A685" s="1"/>
      <c r="B685" s="1"/>
      <c r="C685" s="1"/>
      <c r="D685" s="1"/>
      <c r="E685" s="1"/>
      <c r="F685" s="1"/>
      <c r="G685" s="1"/>
      <c r="H685" s="1"/>
    </row>
    <row r="686" spans="1:8" ht="15" thickBot="1" x14ac:dyDescent="0.35">
      <c r="A686" s="1"/>
      <c r="B686" s="1"/>
      <c r="C686" s="1"/>
      <c r="D686" s="1"/>
      <c r="E686" s="1"/>
      <c r="F686" s="1"/>
      <c r="G686" s="1"/>
      <c r="H686" s="1"/>
    </row>
    <row r="687" spans="1:8" ht="15" thickBot="1" x14ac:dyDescent="0.35">
      <c r="A687" s="1"/>
      <c r="B687" s="1"/>
      <c r="C687" s="1"/>
      <c r="D687" s="1"/>
      <c r="E687" s="1"/>
      <c r="F687" s="1"/>
      <c r="G687" s="1"/>
      <c r="H687" s="1"/>
    </row>
    <row r="688" spans="1:8" ht="15" thickBot="1" x14ac:dyDescent="0.35">
      <c r="A688" s="1"/>
      <c r="B688" s="1"/>
      <c r="C688" s="1"/>
      <c r="D688" s="1"/>
      <c r="E688" s="1"/>
      <c r="F688" s="1"/>
      <c r="G688" s="1"/>
      <c r="H688" s="1"/>
    </row>
    <row r="689" spans="1:8" ht="15" thickBot="1" x14ac:dyDescent="0.35">
      <c r="A689" s="1"/>
      <c r="B689" s="1"/>
      <c r="C689" s="1"/>
      <c r="D689" s="1"/>
      <c r="E689" s="1"/>
      <c r="F689" s="1"/>
      <c r="G689" s="1"/>
      <c r="H689" s="1"/>
    </row>
    <row r="690" spans="1:8" ht="15" thickBot="1" x14ac:dyDescent="0.35">
      <c r="A690" s="1"/>
      <c r="B690" s="1"/>
      <c r="C690" s="1"/>
      <c r="D690" s="1"/>
      <c r="E690" s="1"/>
      <c r="F690" s="1"/>
      <c r="G690" s="1"/>
      <c r="H690" s="1"/>
    </row>
    <row r="691" spans="1:8" ht="15" thickBot="1" x14ac:dyDescent="0.35">
      <c r="A691" s="1"/>
      <c r="B691" s="1"/>
      <c r="C691" s="1"/>
      <c r="D691" s="1"/>
      <c r="E691" s="1"/>
      <c r="F691" s="1"/>
      <c r="G691" s="1"/>
      <c r="H691" s="1"/>
    </row>
    <row r="692" spans="1:8" ht="15" thickBot="1" x14ac:dyDescent="0.35">
      <c r="A692" s="1"/>
      <c r="B692" s="1"/>
      <c r="C692" s="1"/>
      <c r="D692" s="1"/>
      <c r="E692" s="1"/>
      <c r="F692" s="1"/>
      <c r="G692" s="1"/>
      <c r="H692" s="1"/>
    </row>
    <row r="693" spans="1:8" ht="15" thickBot="1" x14ac:dyDescent="0.35">
      <c r="A693" s="1"/>
      <c r="B693" s="1"/>
      <c r="C693" s="1"/>
      <c r="D693" s="1"/>
      <c r="E693" s="1"/>
      <c r="F693" s="1"/>
      <c r="G693" s="1"/>
      <c r="H693" s="1"/>
    </row>
    <row r="694" spans="1:8" ht="15" thickBot="1" x14ac:dyDescent="0.35">
      <c r="A694" s="1"/>
      <c r="B694" s="1"/>
      <c r="C694" s="1"/>
      <c r="D694" s="1"/>
      <c r="E694" s="1"/>
      <c r="F694" s="1"/>
      <c r="G694" s="1"/>
      <c r="H694" s="1"/>
    </row>
    <row r="695" spans="1:8" ht="15" thickBot="1" x14ac:dyDescent="0.35">
      <c r="A695" s="1"/>
      <c r="B695" s="1"/>
      <c r="C695" s="1"/>
      <c r="D695" s="1"/>
      <c r="E695" s="1"/>
      <c r="F695" s="1"/>
      <c r="G695" s="1"/>
      <c r="H695" s="1"/>
    </row>
    <row r="696" spans="1:8" ht="15" thickBot="1" x14ac:dyDescent="0.35">
      <c r="A696" s="1"/>
      <c r="B696" s="1"/>
      <c r="C696" s="1"/>
      <c r="D696" s="1"/>
      <c r="E696" s="1"/>
      <c r="F696" s="1"/>
      <c r="G696" s="1"/>
      <c r="H696" s="1"/>
    </row>
    <row r="697" spans="1:8" ht="15" thickBot="1" x14ac:dyDescent="0.35">
      <c r="A697" s="1"/>
      <c r="B697" s="1"/>
      <c r="C697" s="1"/>
      <c r="D697" s="1"/>
      <c r="E697" s="1"/>
      <c r="F697" s="1"/>
      <c r="G697" s="1"/>
      <c r="H697" s="1"/>
    </row>
    <row r="698" spans="1:8" ht="15" thickBot="1" x14ac:dyDescent="0.35">
      <c r="A698" s="1"/>
      <c r="B698" s="1"/>
      <c r="C698" s="1"/>
      <c r="D698" s="1"/>
      <c r="E698" s="1"/>
      <c r="F698" s="1"/>
      <c r="G698" s="1"/>
      <c r="H698" s="1"/>
    </row>
    <row r="699" spans="1:8" ht="15" thickBot="1" x14ac:dyDescent="0.35">
      <c r="A699" s="1"/>
      <c r="B699" s="1"/>
      <c r="C699" s="1"/>
      <c r="D699" s="1"/>
      <c r="E699" s="1"/>
      <c r="F699" s="1"/>
      <c r="G699" s="1"/>
      <c r="H699" s="1"/>
    </row>
    <row r="700" spans="1:8" ht="15" thickBot="1" x14ac:dyDescent="0.35">
      <c r="A700" s="1"/>
      <c r="B700" s="1"/>
      <c r="C700" s="1"/>
      <c r="D700" s="1"/>
      <c r="E700" s="1"/>
      <c r="F700" s="1"/>
      <c r="G700" s="1"/>
      <c r="H700" s="1"/>
    </row>
    <row r="701" spans="1:8" ht="15" thickBot="1" x14ac:dyDescent="0.35">
      <c r="A701" s="1"/>
      <c r="B701" s="1"/>
      <c r="C701" s="1"/>
      <c r="D701" s="1"/>
      <c r="E701" s="1"/>
      <c r="F701" s="1"/>
      <c r="G701" s="1"/>
      <c r="H701" s="1"/>
    </row>
    <row r="702" spans="1:8" ht="15" thickBot="1" x14ac:dyDescent="0.35">
      <c r="A702" s="1"/>
      <c r="B702" s="1"/>
      <c r="C702" s="1"/>
      <c r="D702" s="1"/>
      <c r="E702" s="1"/>
      <c r="F702" s="1"/>
      <c r="G702" s="1"/>
      <c r="H702" s="1"/>
    </row>
    <row r="703" spans="1:8" ht="15" thickBot="1" x14ac:dyDescent="0.35">
      <c r="A703" s="1"/>
      <c r="B703" s="1"/>
      <c r="C703" s="1"/>
      <c r="D703" s="1"/>
      <c r="E703" s="1"/>
      <c r="F703" s="1"/>
      <c r="G703" s="1"/>
      <c r="H703" s="1"/>
    </row>
    <row r="704" spans="1:8" ht="15" thickBot="1" x14ac:dyDescent="0.35">
      <c r="A704" s="1"/>
      <c r="B704" s="1"/>
      <c r="C704" s="1"/>
      <c r="D704" s="1"/>
      <c r="E704" s="1"/>
      <c r="F704" s="1"/>
      <c r="G704" s="1"/>
      <c r="H704" s="1"/>
    </row>
    <row r="705" spans="1:8" ht="15" thickBot="1" x14ac:dyDescent="0.35">
      <c r="A705" s="1"/>
      <c r="B705" s="1"/>
      <c r="C705" s="1"/>
      <c r="D705" s="1"/>
      <c r="E705" s="1"/>
      <c r="F705" s="1"/>
      <c r="G705" s="1"/>
      <c r="H705" s="1"/>
    </row>
    <row r="706" spans="1:8" ht="15" thickBot="1" x14ac:dyDescent="0.35">
      <c r="A706" s="1"/>
      <c r="B706" s="1"/>
      <c r="C706" s="1"/>
      <c r="D706" s="1"/>
      <c r="E706" s="1"/>
      <c r="F706" s="1"/>
      <c r="G706" s="1"/>
      <c r="H706" s="1"/>
    </row>
    <row r="707" spans="1:8" ht="15" thickBot="1" x14ac:dyDescent="0.35">
      <c r="A707" s="1"/>
      <c r="B707" s="1"/>
      <c r="C707" s="1"/>
      <c r="D707" s="1"/>
      <c r="E707" s="1"/>
      <c r="F707" s="1"/>
      <c r="G707" s="1"/>
      <c r="H707" s="1"/>
    </row>
    <row r="708" spans="1:8" ht="15" thickBot="1" x14ac:dyDescent="0.35">
      <c r="A708" s="1"/>
      <c r="B708" s="1"/>
      <c r="C708" s="1"/>
      <c r="D708" s="1"/>
      <c r="E708" s="1"/>
      <c r="F708" s="1"/>
      <c r="G708" s="1"/>
      <c r="H708" s="1"/>
    </row>
    <row r="709" spans="1:8" ht="15" thickBot="1" x14ac:dyDescent="0.35">
      <c r="A709" s="1"/>
      <c r="B709" s="1"/>
      <c r="C709" s="1"/>
      <c r="D709" s="1"/>
      <c r="E709" s="1"/>
      <c r="F709" s="1"/>
      <c r="G709" s="1"/>
      <c r="H709" s="1"/>
    </row>
    <row r="710" spans="1:8" ht="15" thickBot="1" x14ac:dyDescent="0.35">
      <c r="A710" s="1"/>
      <c r="B710" s="1"/>
      <c r="C710" s="1"/>
      <c r="D710" s="1"/>
      <c r="E710" s="1"/>
      <c r="F710" s="1"/>
      <c r="G710" s="1"/>
      <c r="H710" s="1"/>
    </row>
    <row r="711" spans="1:8" ht="15" thickBot="1" x14ac:dyDescent="0.35">
      <c r="A711" s="1"/>
      <c r="B711" s="1"/>
      <c r="C711" s="1"/>
      <c r="D711" s="1"/>
      <c r="E711" s="1"/>
      <c r="F711" s="1"/>
      <c r="G711" s="1"/>
      <c r="H711" s="1"/>
    </row>
    <row r="712" spans="1:8" ht="15" thickBot="1" x14ac:dyDescent="0.35">
      <c r="A712" s="1"/>
      <c r="B712" s="1"/>
      <c r="C712" s="1"/>
      <c r="D712" s="1"/>
      <c r="E712" s="1"/>
      <c r="F712" s="1"/>
      <c r="G712" s="1"/>
      <c r="H712" s="1"/>
    </row>
    <row r="713" spans="1:8" ht="15" thickBot="1" x14ac:dyDescent="0.35">
      <c r="A713" s="1"/>
      <c r="B713" s="1"/>
      <c r="C713" s="1"/>
      <c r="D713" s="1"/>
      <c r="E713" s="1"/>
      <c r="F713" s="1"/>
      <c r="G713" s="1"/>
      <c r="H713" s="1"/>
    </row>
    <row r="714" spans="1:8" ht="15" thickBot="1" x14ac:dyDescent="0.35">
      <c r="A714" s="1"/>
      <c r="B714" s="1"/>
      <c r="C714" s="1"/>
      <c r="D714" s="1"/>
      <c r="E714" s="1"/>
      <c r="F714" s="1"/>
      <c r="G714" s="1"/>
      <c r="H714" s="1"/>
    </row>
    <row r="715" spans="1:8" ht="15" thickBot="1" x14ac:dyDescent="0.35">
      <c r="A715" s="1"/>
      <c r="B715" s="1"/>
      <c r="C715" s="1"/>
      <c r="D715" s="1"/>
      <c r="E715" s="1"/>
      <c r="F715" s="1"/>
      <c r="G715" s="1"/>
      <c r="H715" s="1"/>
    </row>
    <row r="716" spans="1:8" ht="15" thickBot="1" x14ac:dyDescent="0.35">
      <c r="A716" s="1"/>
      <c r="B716" s="1"/>
      <c r="C716" s="1"/>
      <c r="D716" s="1"/>
      <c r="E716" s="1"/>
      <c r="F716" s="1"/>
      <c r="G716" s="1"/>
      <c r="H716" s="1"/>
    </row>
    <row r="717" spans="1:8" ht="15" thickBot="1" x14ac:dyDescent="0.35">
      <c r="A717" s="1"/>
      <c r="B717" s="1"/>
      <c r="C717" s="1"/>
      <c r="D717" s="1"/>
      <c r="E717" s="1"/>
      <c r="F717" s="1"/>
      <c r="G717" s="1"/>
      <c r="H717" s="1"/>
    </row>
    <row r="718" spans="1:8" ht="15" thickBot="1" x14ac:dyDescent="0.35">
      <c r="A718" s="1"/>
      <c r="B718" s="1"/>
      <c r="C718" s="1"/>
      <c r="D718" s="1"/>
      <c r="E718" s="1"/>
      <c r="F718" s="1"/>
      <c r="G718" s="1"/>
      <c r="H718" s="1"/>
    </row>
    <row r="719" spans="1:8" ht="15" thickBot="1" x14ac:dyDescent="0.35">
      <c r="A719" s="1"/>
      <c r="B719" s="1"/>
      <c r="C719" s="1"/>
      <c r="D719" s="1"/>
      <c r="E719" s="1"/>
      <c r="F719" s="1"/>
      <c r="G719" s="1"/>
      <c r="H719" s="1"/>
    </row>
    <row r="720" spans="1:8" ht="15" thickBot="1" x14ac:dyDescent="0.35">
      <c r="A720" s="1"/>
      <c r="B720" s="1"/>
      <c r="C720" s="1"/>
      <c r="D720" s="1"/>
      <c r="E720" s="1"/>
      <c r="F720" s="1"/>
      <c r="G720" s="1"/>
      <c r="H720" s="1"/>
    </row>
    <row r="721" spans="1:8" ht="15" thickBot="1" x14ac:dyDescent="0.35">
      <c r="A721" s="1"/>
      <c r="B721" s="1"/>
      <c r="C721" s="1"/>
      <c r="D721" s="1"/>
      <c r="E721" s="1"/>
      <c r="F721" s="1"/>
      <c r="G721" s="1"/>
      <c r="H721" s="1"/>
    </row>
    <row r="722" spans="1:8" ht="15" thickBot="1" x14ac:dyDescent="0.35">
      <c r="A722" s="1"/>
      <c r="B722" s="1"/>
      <c r="C722" s="1"/>
      <c r="D722" s="1"/>
      <c r="E722" s="1"/>
      <c r="F722" s="1"/>
      <c r="G722" s="1"/>
      <c r="H722" s="1"/>
    </row>
    <row r="723" spans="1:8" ht="15" thickBot="1" x14ac:dyDescent="0.35">
      <c r="A723" s="1"/>
      <c r="B723" s="1"/>
      <c r="C723" s="1"/>
      <c r="D723" s="1"/>
      <c r="E723" s="1"/>
      <c r="F723" s="1"/>
      <c r="G723" s="1"/>
      <c r="H723" s="1"/>
    </row>
    <row r="724" spans="1:8" ht="15" thickBot="1" x14ac:dyDescent="0.35">
      <c r="A724" s="1"/>
      <c r="B724" s="1"/>
      <c r="C724" s="1"/>
      <c r="D724" s="1"/>
      <c r="E724" s="1"/>
      <c r="F724" s="1"/>
      <c r="G724" s="1"/>
      <c r="H724" s="1"/>
    </row>
    <row r="725" spans="1:8" ht="15" thickBot="1" x14ac:dyDescent="0.35">
      <c r="A725" s="1"/>
      <c r="B725" s="1"/>
      <c r="C725" s="1"/>
      <c r="D725" s="1"/>
      <c r="E725" s="1"/>
      <c r="F725" s="1"/>
      <c r="G725" s="1"/>
      <c r="H725" s="1"/>
    </row>
    <row r="726" spans="1:8" ht="15" thickBot="1" x14ac:dyDescent="0.35">
      <c r="A726" s="1"/>
      <c r="B726" s="1"/>
      <c r="C726" s="1"/>
      <c r="D726" s="1"/>
      <c r="E726" s="1"/>
      <c r="F726" s="1"/>
      <c r="G726" s="1"/>
      <c r="H726" s="1"/>
    </row>
    <row r="727" spans="1:8" ht="15" thickBot="1" x14ac:dyDescent="0.35">
      <c r="A727" s="1"/>
      <c r="B727" s="1"/>
      <c r="C727" s="1"/>
      <c r="D727" s="1"/>
      <c r="E727" s="1"/>
      <c r="F727" s="1"/>
      <c r="G727" s="1"/>
      <c r="H727" s="1"/>
    </row>
    <row r="728" spans="1:8" ht="15" thickBot="1" x14ac:dyDescent="0.35">
      <c r="A728" s="1"/>
      <c r="B728" s="1"/>
      <c r="C728" s="1"/>
      <c r="D728" s="1"/>
      <c r="E728" s="1"/>
      <c r="F728" s="1"/>
      <c r="G728" s="1"/>
      <c r="H728" s="1"/>
    </row>
    <row r="729" spans="1:8" ht="15" thickBot="1" x14ac:dyDescent="0.35">
      <c r="A729" s="1"/>
      <c r="B729" s="1"/>
      <c r="C729" s="1"/>
      <c r="D729" s="1"/>
      <c r="E729" s="1"/>
      <c r="F729" s="1"/>
      <c r="G729" s="1"/>
      <c r="H729" s="1"/>
    </row>
    <row r="730" spans="1:8" ht="15" thickBot="1" x14ac:dyDescent="0.35">
      <c r="A730" s="1"/>
      <c r="B730" s="1"/>
      <c r="C730" s="1"/>
      <c r="D730" s="1"/>
      <c r="E730" s="1"/>
      <c r="F730" s="1"/>
      <c r="G730" s="1"/>
      <c r="H730" s="1"/>
    </row>
    <row r="731" spans="1:8" ht="15" thickBot="1" x14ac:dyDescent="0.35">
      <c r="A731" s="1"/>
      <c r="B731" s="1"/>
      <c r="C731" s="1"/>
      <c r="D731" s="1"/>
      <c r="E731" s="1"/>
      <c r="F731" s="1"/>
      <c r="G731" s="1"/>
      <c r="H731" s="1"/>
    </row>
    <row r="732" spans="1:8" ht="15" thickBot="1" x14ac:dyDescent="0.35">
      <c r="A732" s="1"/>
      <c r="B732" s="1"/>
      <c r="C732" s="1"/>
      <c r="D732" s="1"/>
      <c r="E732" s="1"/>
      <c r="F732" s="1"/>
      <c r="G732" s="1"/>
      <c r="H732" s="1"/>
    </row>
    <row r="733" spans="1:8" ht="15" thickBot="1" x14ac:dyDescent="0.35">
      <c r="A733" s="1"/>
      <c r="B733" s="1"/>
      <c r="C733" s="1"/>
      <c r="D733" s="1"/>
      <c r="E733" s="1"/>
      <c r="F733" s="1"/>
      <c r="G733" s="1"/>
      <c r="H733" s="1"/>
    </row>
    <row r="734" spans="1:8" ht="15" thickBot="1" x14ac:dyDescent="0.35">
      <c r="A734" s="1"/>
      <c r="B734" s="1"/>
      <c r="C734" s="1"/>
      <c r="D734" s="1"/>
      <c r="E734" s="1"/>
      <c r="F734" s="1"/>
      <c r="G734" s="1"/>
      <c r="H734" s="1"/>
    </row>
    <row r="735" spans="1:8" ht="15" thickBot="1" x14ac:dyDescent="0.35">
      <c r="A735" s="1"/>
      <c r="B735" s="1"/>
      <c r="C735" s="1"/>
      <c r="D735" s="1"/>
      <c r="E735" s="1"/>
      <c r="F735" s="1"/>
      <c r="G735" s="1"/>
      <c r="H735" s="1"/>
    </row>
    <row r="736" spans="1:8" ht="15" thickBot="1" x14ac:dyDescent="0.35">
      <c r="A736" s="1"/>
      <c r="B736" s="1"/>
      <c r="C736" s="1"/>
      <c r="D736" s="1"/>
      <c r="E736" s="1"/>
      <c r="F736" s="1"/>
      <c r="G736" s="1"/>
      <c r="H736" s="1"/>
    </row>
    <row r="737" spans="1:8" ht="15" thickBot="1" x14ac:dyDescent="0.35">
      <c r="A737" s="1"/>
      <c r="B737" s="1"/>
      <c r="C737" s="1"/>
      <c r="D737" s="1"/>
      <c r="E737" s="1"/>
      <c r="F737" s="1"/>
      <c r="G737" s="1"/>
      <c r="H737" s="1"/>
    </row>
    <row r="738" spans="1:8" ht="15" thickBot="1" x14ac:dyDescent="0.35">
      <c r="A738" s="1"/>
      <c r="B738" s="1"/>
      <c r="C738" s="1"/>
      <c r="D738" s="1"/>
      <c r="E738" s="1"/>
      <c r="F738" s="1"/>
      <c r="G738" s="1"/>
      <c r="H738" s="1"/>
    </row>
    <row r="739" spans="1:8" ht="15" thickBot="1" x14ac:dyDescent="0.35">
      <c r="A739" s="1"/>
      <c r="B739" s="1"/>
      <c r="C739" s="1"/>
      <c r="D739" s="1"/>
      <c r="E739" s="1"/>
      <c r="F739" s="1"/>
      <c r="G739" s="1"/>
      <c r="H739" s="1"/>
    </row>
    <row r="740" spans="1:8" ht="15" thickBot="1" x14ac:dyDescent="0.35">
      <c r="A740" s="1"/>
      <c r="B740" s="1"/>
      <c r="C740" s="1"/>
      <c r="D740" s="1"/>
      <c r="E740" s="1"/>
      <c r="F740" s="1"/>
      <c r="G740" s="1"/>
      <c r="H740" s="1"/>
    </row>
    <row r="741" spans="1:8" ht="15" thickBot="1" x14ac:dyDescent="0.35">
      <c r="A741" s="1"/>
      <c r="B741" s="1"/>
      <c r="C741" s="1"/>
      <c r="D741" s="1"/>
      <c r="E741" s="1"/>
      <c r="F741" s="1"/>
      <c r="G741" s="1"/>
      <c r="H741" s="1"/>
    </row>
    <row r="742" spans="1:8" ht="15" thickBot="1" x14ac:dyDescent="0.35">
      <c r="A742" s="1"/>
      <c r="B742" s="1"/>
      <c r="C742" s="1"/>
      <c r="D742" s="1"/>
      <c r="E742" s="1"/>
      <c r="F742" s="1"/>
      <c r="G742" s="1"/>
      <c r="H742" s="1"/>
    </row>
    <row r="743" spans="1:8" ht="15" thickBot="1" x14ac:dyDescent="0.35">
      <c r="A743" s="1"/>
      <c r="B743" s="1"/>
      <c r="C743" s="1"/>
      <c r="D743" s="1"/>
      <c r="E743" s="1"/>
      <c r="F743" s="1"/>
      <c r="G743" s="1"/>
      <c r="H743" s="1"/>
    </row>
    <row r="744" spans="1:8" ht="15" thickBot="1" x14ac:dyDescent="0.35">
      <c r="A744" s="1"/>
      <c r="B744" s="1"/>
      <c r="C744" s="1"/>
      <c r="D744" s="1"/>
      <c r="E744" s="1"/>
      <c r="F744" s="1"/>
      <c r="G744" s="1"/>
      <c r="H744" s="1"/>
    </row>
    <row r="745" spans="1:8" ht="15" thickBot="1" x14ac:dyDescent="0.35">
      <c r="A745" s="1"/>
      <c r="B745" s="1"/>
      <c r="C745" s="1"/>
      <c r="D745" s="1"/>
      <c r="E745" s="1"/>
      <c r="F745" s="1"/>
      <c r="G745" s="1"/>
      <c r="H745" s="1"/>
    </row>
    <row r="746" spans="1:8" ht="15" thickBot="1" x14ac:dyDescent="0.35">
      <c r="A746" s="1"/>
      <c r="B746" s="1"/>
      <c r="C746" s="1"/>
      <c r="D746" s="1"/>
      <c r="E746" s="1"/>
      <c r="F746" s="1"/>
      <c r="G746" s="1"/>
      <c r="H746" s="1"/>
    </row>
    <row r="747" spans="1:8" ht="15" thickBot="1" x14ac:dyDescent="0.35">
      <c r="A747" s="1"/>
      <c r="B747" s="1"/>
      <c r="C747" s="1"/>
      <c r="D747" s="1"/>
      <c r="E747" s="1"/>
      <c r="F747" s="1"/>
      <c r="G747" s="1"/>
      <c r="H747" s="1"/>
    </row>
    <row r="748" spans="1:8" ht="15" thickBot="1" x14ac:dyDescent="0.35">
      <c r="A748" s="1"/>
      <c r="B748" s="1"/>
      <c r="C748" s="1"/>
      <c r="D748" s="1"/>
      <c r="E748" s="1"/>
      <c r="F748" s="1"/>
      <c r="G748" s="1"/>
      <c r="H748" s="1"/>
    </row>
    <row r="749" spans="1:8" ht="15" thickBot="1" x14ac:dyDescent="0.35">
      <c r="A749" s="1"/>
      <c r="B749" s="1"/>
      <c r="C749" s="1"/>
      <c r="D749" s="1"/>
      <c r="E749" s="1"/>
      <c r="F749" s="1"/>
      <c r="G749" s="1"/>
      <c r="H749" s="1"/>
    </row>
    <row r="750" spans="1:8" ht="15" thickBot="1" x14ac:dyDescent="0.35">
      <c r="A750" s="1"/>
      <c r="B750" s="1"/>
      <c r="C750" s="1"/>
      <c r="D750" s="1"/>
      <c r="E750" s="1"/>
      <c r="F750" s="1"/>
      <c r="G750" s="1"/>
      <c r="H750" s="1"/>
    </row>
    <row r="751" spans="1:8" ht="15" thickBot="1" x14ac:dyDescent="0.35">
      <c r="A751" s="1"/>
      <c r="B751" s="1"/>
      <c r="C751" s="1"/>
      <c r="D751" s="1"/>
      <c r="E751" s="1"/>
      <c r="F751" s="1"/>
      <c r="G751" s="1"/>
      <c r="H751" s="1"/>
    </row>
    <row r="752" spans="1:8" ht="15" thickBot="1" x14ac:dyDescent="0.35">
      <c r="A752" s="1"/>
      <c r="B752" s="1"/>
      <c r="C752" s="1"/>
      <c r="D752" s="1"/>
      <c r="E752" s="1"/>
      <c r="F752" s="1"/>
      <c r="G752" s="1"/>
      <c r="H752" s="1"/>
    </row>
    <row r="753" spans="1:8" ht="15" thickBot="1" x14ac:dyDescent="0.35">
      <c r="A753" s="1"/>
      <c r="B753" s="1"/>
      <c r="C753" s="1"/>
      <c r="D753" s="1"/>
      <c r="E753" s="1"/>
      <c r="F753" s="1"/>
      <c r="G753" s="1"/>
      <c r="H753" s="1"/>
    </row>
    <row r="754" spans="1:8" ht="15" thickBot="1" x14ac:dyDescent="0.35">
      <c r="A754" s="1"/>
      <c r="B754" s="1"/>
      <c r="C754" s="1"/>
      <c r="D754" s="1"/>
      <c r="E754" s="1"/>
      <c r="F754" s="1"/>
      <c r="G754" s="1"/>
      <c r="H754" s="1"/>
    </row>
    <row r="755" spans="1:8" ht="15" thickBot="1" x14ac:dyDescent="0.35">
      <c r="A755" s="1"/>
      <c r="B755" s="1"/>
      <c r="C755" s="1"/>
      <c r="D755" s="1"/>
      <c r="E755" s="1"/>
      <c r="F755" s="1"/>
      <c r="G755" s="1"/>
      <c r="H755" s="1"/>
    </row>
    <row r="756" spans="1:8" ht="15" thickBot="1" x14ac:dyDescent="0.35">
      <c r="A756" s="1"/>
      <c r="B756" s="1"/>
      <c r="C756" s="1"/>
      <c r="D756" s="1"/>
      <c r="E756" s="1"/>
      <c r="F756" s="1"/>
      <c r="G756" s="1"/>
      <c r="H756" s="1"/>
    </row>
    <row r="757" spans="1:8" ht="15" thickBot="1" x14ac:dyDescent="0.35">
      <c r="A757" s="1"/>
      <c r="B757" s="1"/>
      <c r="C757" s="1"/>
      <c r="D757" s="1"/>
      <c r="E757" s="1"/>
      <c r="F757" s="1"/>
      <c r="G757" s="1"/>
      <c r="H757" s="1"/>
    </row>
    <row r="758" spans="1:8" ht="15" thickBot="1" x14ac:dyDescent="0.35">
      <c r="A758" s="1"/>
      <c r="B758" s="1"/>
      <c r="C758" s="1"/>
      <c r="D758" s="1"/>
      <c r="E758" s="1"/>
      <c r="F758" s="1"/>
      <c r="G758" s="1"/>
      <c r="H758" s="1"/>
    </row>
    <row r="759" spans="1:8" ht="15" thickBot="1" x14ac:dyDescent="0.35">
      <c r="A759" s="1"/>
      <c r="B759" s="1"/>
      <c r="C759" s="1"/>
      <c r="D759" s="1"/>
      <c r="E759" s="1"/>
      <c r="F759" s="1"/>
      <c r="G759" s="1"/>
      <c r="H759" s="1"/>
    </row>
    <row r="760" spans="1:8" ht="15" thickBot="1" x14ac:dyDescent="0.35">
      <c r="A760" s="1"/>
      <c r="B760" s="1"/>
      <c r="C760" s="1"/>
      <c r="D760" s="1"/>
      <c r="E760" s="1"/>
      <c r="F760" s="1"/>
      <c r="G760" s="1"/>
      <c r="H760" s="1"/>
    </row>
    <row r="761" spans="1:8" ht="15" thickBot="1" x14ac:dyDescent="0.35">
      <c r="A761" s="1"/>
      <c r="B761" s="1"/>
      <c r="C761" s="1"/>
      <c r="D761" s="1"/>
      <c r="E761" s="1"/>
      <c r="F761" s="1"/>
      <c r="G761" s="1"/>
      <c r="H761" s="1"/>
    </row>
    <row r="762" spans="1:8" ht="15" thickBot="1" x14ac:dyDescent="0.35">
      <c r="A762" s="1"/>
      <c r="B762" s="1"/>
      <c r="C762" s="1"/>
      <c r="D762" s="1"/>
      <c r="E762" s="1"/>
      <c r="F762" s="1"/>
      <c r="G762" s="1"/>
      <c r="H762" s="1"/>
    </row>
    <row r="763" spans="1:8" ht="15" thickBot="1" x14ac:dyDescent="0.35">
      <c r="A763" s="1"/>
      <c r="B763" s="1"/>
      <c r="C763" s="1"/>
      <c r="D763" s="1"/>
      <c r="E763" s="1"/>
      <c r="F763" s="1"/>
      <c r="G763" s="1"/>
      <c r="H763" s="1"/>
    </row>
    <row r="764" spans="1:8" ht="15" thickBot="1" x14ac:dyDescent="0.35">
      <c r="A764" s="1"/>
      <c r="B764" s="1"/>
      <c r="C764" s="1"/>
      <c r="D764" s="1"/>
      <c r="E764" s="1"/>
      <c r="F764" s="1"/>
      <c r="G764" s="1"/>
      <c r="H764" s="1"/>
    </row>
    <row r="765" spans="1:8" ht="15" thickBot="1" x14ac:dyDescent="0.35">
      <c r="A765" s="1"/>
      <c r="B765" s="1"/>
      <c r="C765" s="1"/>
      <c r="D765" s="1"/>
      <c r="E765" s="1"/>
      <c r="F765" s="1"/>
      <c r="G765" s="1"/>
      <c r="H765" s="1"/>
    </row>
    <row r="766" spans="1:8" ht="15" thickBot="1" x14ac:dyDescent="0.35">
      <c r="A766" s="1"/>
      <c r="B766" s="1"/>
      <c r="C766" s="1"/>
      <c r="D766" s="1"/>
      <c r="E766" s="1"/>
      <c r="F766" s="1"/>
      <c r="G766" s="1"/>
      <c r="H766" s="1"/>
    </row>
    <row r="767" spans="1:8" ht="15" thickBot="1" x14ac:dyDescent="0.35">
      <c r="A767" s="1"/>
      <c r="B767" s="1"/>
      <c r="C767" s="1"/>
      <c r="D767" s="1"/>
      <c r="E767" s="1"/>
      <c r="F767" s="1"/>
      <c r="G767" s="1"/>
      <c r="H767" s="1"/>
    </row>
    <row r="768" spans="1:8" ht="15" thickBot="1" x14ac:dyDescent="0.35">
      <c r="A768" s="1"/>
      <c r="B768" s="1"/>
      <c r="C768" s="1"/>
      <c r="D768" s="1"/>
      <c r="E768" s="1"/>
      <c r="F768" s="1"/>
      <c r="G768" s="1"/>
      <c r="H768" s="1"/>
    </row>
    <row r="769" spans="1:8" ht="15" thickBot="1" x14ac:dyDescent="0.35">
      <c r="A769" s="1"/>
      <c r="B769" s="1"/>
      <c r="C769" s="1"/>
      <c r="D769" s="1"/>
      <c r="E769" s="1"/>
      <c r="F769" s="1"/>
      <c r="G769" s="1"/>
      <c r="H769" s="1"/>
    </row>
    <row r="770" spans="1:8" ht="15" thickBot="1" x14ac:dyDescent="0.35">
      <c r="A770" s="1"/>
      <c r="B770" s="1"/>
      <c r="C770" s="1"/>
      <c r="D770" s="1"/>
      <c r="E770" s="1"/>
      <c r="F770" s="1"/>
      <c r="G770" s="1"/>
      <c r="H770" s="1"/>
    </row>
    <row r="771" spans="1:8" ht="15" thickBot="1" x14ac:dyDescent="0.35">
      <c r="A771" s="1"/>
      <c r="B771" s="1"/>
      <c r="C771" s="1"/>
      <c r="D771" s="1"/>
      <c r="E771" s="1"/>
      <c r="F771" s="1"/>
      <c r="G771" s="1"/>
      <c r="H771" s="1"/>
    </row>
    <row r="772" spans="1:8" ht="15" thickBot="1" x14ac:dyDescent="0.35">
      <c r="A772" s="1"/>
      <c r="B772" s="1"/>
      <c r="C772" s="1"/>
      <c r="D772" s="1"/>
      <c r="E772" s="1"/>
      <c r="F772" s="1"/>
      <c r="G772" s="1"/>
      <c r="H772" s="1"/>
    </row>
    <row r="773" spans="1:8" ht="15" thickBot="1" x14ac:dyDescent="0.35">
      <c r="A773" s="1"/>
      <c r="B773" s="1"/>
      <c r="C773" s="1"/>
      <c r="D773" s="1"/>
      <c r="E773" s="1"/>
      <c r="F773" s="1"/>
      <c r="G773" s="1"/>
      <c r="H773" s="1"/>
    </row>
    <row r="774" spans="1:8" ht="15" thickBot="1" x14ac:dyDescent="0.35">
      <c r="A774" s="1"/>
      <c r="B774" s="1"/>
      <c r="C774" s="1"/>
      <c r="D774" s="1"/>
      <c r="E774" s="1"/>
      <c r="F774" s="1"/>
      <c r="G774" s="1"/>
      <c r="H774" s="1"/>
    </row>
    <row r="775" spans="1:8" ht="15" thickBot="1" x14ac:dyDescent="0.35">
      <c r="A775" s="1"/>
      <c r="B775" s="1"/>
      <c r="C775" s="1"/>
      <c r="D775" s="1"/>
      <c r="E775" s="1"/>
      <c r="F775" s="1"/>
      <c r="G775" s="1"/>
      <c r="H775" s="1"/>
    </row>
    <row r="776" spans="1:8" ht="15" thickBot="1" x14ac:dyDescent="0.35">
      <c r="A776" s="1"/>
      <c r="B776" s="1"/>
      <c r="C776" s="1"/>
      <c r="D776" s="1"/>
      <c r="E776" s="1"/>
      <c r="F776" s="1"/>
      <c r="G776" s="1"/>
      <c r="H776" s="1"/>
    </row>
    <row r="777" spans="1:8" ht="15" thickBot="1" x14ac:dyDescent="0.35">
      <c r="A777" s="1"/>
      <c r="B777" s="1"/>
      <c r="C777" s="1"/>
      <c r="D777" s="1"/>
      <c r="E777" s="1"/>
      <c r="F777" s="1"/>
      <c r="G777" s="1"/>
      <c r="H777" s="1"/>
    </row>
    <row r="778" spans="1:8" ht="15" thickBot="1" x14ac:dyDescent="0.35">
      <c r="A778" s="1"/>
      <c r="B778" s="1"/>
      <c r="C778" s="1"/>
      <c r="D778" s="1"/>
      <c r="E778" s="1"/>
      <c r="F778" s="1"/>
      <c r="G778" s="1"/>
      <c r="H778" s="1"/>
    </row>
    <row r="779" spans="1:8" ht="15" thickBot="1" x14ac:dyDescent="0.35">
      <c r="A779" s="1"/>
      <c r="B779" s="1"/>
      <c r="C779" s="1"/>
      <c r="D779" s="1"/>
      <c r="E779" s="1"/>
      <c r="F779" s="1"/>
      <c r="G779" s="1"/>
      <c r="H779" s="1"/>
    </row>
    <row r="780" spans="1:8" ht="15" thickBot="1" x14ac:dyDescent="0.35">
      <c r="A780" s="1"/>
      <c r="B780" s="1"/>
      <c r="C780" s="1"/>
      <c r="D780" s="1"/>
      <c r="E780" s="1"/>
      <c r="F780" s="1"/>
      <c r="G780" s="1"/>
      <c r="H780" s="1"/>
    </row>
    <row r="781" spans="1:8" ht="15" thickBot="1" x14ac:dyDescent="0.35">
      <c r="A781" s="1"/>
      <c r="B781" s="1"/>
      <c r="C781" s="1"/>
      <c r="D781" s="1"/>
      <c r="E781" s="1"/>
      <c r="F781" s="1"/>
      <c r="G781" s="1"/>
      <c r="H781" s="1"/>
    </row>
    <row r="782" spans="1:8" ht="15" thickBot="1" x14ac:dyDescent="0.35">
      <c r="A782" s="1"/>
      <c r="B782" s="1"/>
      <c r="C782" s="1"/>
      <c r="D782" s="1"/>
      <c r="E782" s="1"/>
      <c r="F782" s="1"/>
      <c r="G782" s="1"/>
      <c r="H782" s="1"/>
    </row>
    <row r="783" spans="1:8" ht="15" thickBot="1" x14ac:dyDescent="0.35">
      <c r="A783" s="1"/>
      <c r="B783" s="1"/>
      <c r="C783" s="1"/>
      <c r="D783" s="1"/>
      <c r="E783" s="1"/>
      <c r="F783" s="1"/>
      <c r="G783" s="1"/>
      <c r="H783" s="1"/>
    </row>
    <row r="784" spans="1:8" ht="15" thickBot="1" x14ac:dyDescent="0.35">
      <c r="A784" s="1"/>
      <c r="B784" s="1"/>
      <c r="C784" s="1"/>
      <c r="D784" s="1"/>
      <c r="E784" s="1"/>
      <c r="F784" s="1"/>
      <c r="G784" s="1"/>
      <c r="H784" s="1"/>
    </row>
    <row r="785" spans="1:8" ht="15" thickBot="1" x14ac:dyDescent="0.35">
      <c r="A785" s="1"/>
      <c r="B785" s="1"/>
      <c r="C785" s="1"/>
      <c r="D785" s="1"/>
      <c r="E785" s="1"/>
      <c r="F785" s="1"/>
      <c r="G785" s="1"/>
      <c r="H785" s="1"/>
    </row>
    <row r="786" spans="1:8" ht="15" thickBot="1" x14ac:dyDescent="0.35">
      <c r="A786" s="1"/>
      <c r="B786" s="1"/>
      <c r="C786" s="1"/>
      <c r="D786" s="1"/>
      <c r="E786" s="1"/>
      <c r="F786" s="1"/>
      <c r="G786" s="1"/>
      <c r="H786" s="1"/>
    </row>
    <row r="787" spans="1:8" ht="15" thickBot="1" x14ac:dyDescent="0.35">
      <c r="A787" s="1"/>
      <c r="B787" s="1"/>
      <c r="C787" s="1"/>
      <c r="D787" s="1"/>
      <c r="E787" s="1"/>
      <c r="F787" s="1"/>
      <c r="G787" s="1"/>
      <c r="H787" s="1"/>
    </row>
    <row r="788" spans="1:8" ht="15" thickBot="1" x14ac:dyDescent="0.35">
      <c r="A788" s="1"/>
      <c r="B788" s="1"/>
      <c r="C788" s="1"/>
      <c r="D788" s="1"/>
      <c r="E788" s="1"/>
      <c r="F788" s="1"/>
      <c r="G788" s="1"/>
      <c r="H788" s="1"/>
    </row>
    <row r="789" spans="1:8" ht="15" thickBot="1" x14ac:dyDescent="0.35">
      <c r="A789" s="1"/>
      <c r="B789" s="1"/>
      <c r="C789" s="1"/>
      <c r="D789" s="1"/>
      <c r="E789" s="1"/>
      <c r="F789" s="1"/>
      <c r="G789" s="1"/>
      <c r="H789" s="1"/>
    </row>
    <row r="790" spans="1:8" ht="15" thickBot="1" x14ac:dyDescent="0.35">
      <c r="A790" s="1"/>
      <c r="B790" s="1"/>
      <c r="C790" s="1"/>
      <c r="D790" s="1"/>
      <c r="E790" s="1"/>
      <c r="F790" s="1"/>
      <c r="G790" s="1"/>
      <c r="H790" s="1"/>
    </row>
    <row r="791" spans="1:8" ht="15" thickBot="1" x14ac:dyDescent="0.35">
      <c r="A791" s="1"/>
      <c r="B791" s="1"/>
      <c r="C791" s="1"/>
      <c r="D791" s="1"/>
      <c r="E791" s="1"/>
      <c r="F791" s="1"/>
      <c r="G791" s="1"/>
      <c r="H791" s="1"/>
    </row>
    <row r="792" spans="1:8" ht="15" thickBot="1" x14ac:dyDescent="0.35">
      <c r="A792" s="1"/>
      <c r="B792" s="1"/>
      <c r="C792" s="1"/>
      <c r="D792" s="1"/>
      <c r="E792" s="1"/>
      <c r="F792" s="1"/>
      <c r="G792" s="1"/>
      <c r="H792" s="1"/>
    </row>
    <row r="793" spans="1:8" ht="15" thickBot="1" x14ac:dyDescent="0.35">
      <c r="A793" s="1"/>
      <c r="B793" s="1"/>
      <c r="C793" s="1"/>
      <c r="D793" s="1"/>
      <c r="E793" s="1"/>
      <c r="F793" s="1"/>
      <c r="G793" s="1"/>
      <c r="H793" s="1"/>
    </row>
    <row r="794" spans="1:8" ht="15" thickBot="1" x14ac:dyDescent="0.35">
      <c r="A794" s="1"/>
      <c r="B794" s="1"/>
      <c r="C794" s="1"/>
      <c r="D794" s="1"/>
      <c r="E794" s="1"/>
      <c r="F794" s="1"/>
      <c r="G794" s="1"/>
      <c r="H794" s="1"/>
    </row>
    <row r="795" spans="1:8" ht="15" thickBot="1" x14ac:dyDescent="0.35">
      <c r="A795" s="1"/>
      <c r="B795" s="1"/>
      <c r="C795" s="1"/>
      <c r="D795" s="1"/>
      <c r="E795" s="1"/>
      <c r="F795" s="1"/>
      <c r="G795" s="1"/>
      <c r="H795" s="1"/>
    </row>
    <row r="796" spans="1:8" ht="15" thickBot="1" x14ac:dyDescent="0.35">
      <c r="A796" s="1"/>
      <c r="B796" s="1"/>
      <c r="C796" s="1"/>
      <c r="D796" s="1"/>
      <c r="E796" s="1"/>
      <c r="F796" s="1"/>
      <c r="G796" s="1"/>
      <c r="H796" s="1"/>
    </row>
    <row r="797" spans="1:8" ht="15" thickBot="1" x14ac:dyDescent="0.35">
      <c r="A797" s="1"/>
      <c r="B797" s="1"/>
      <c r="C797" s="1"/>
      <c r="D797" s="1"/>
      <c r="E797" s="1"/>
      <c r="F797" s="1"/>
      <c r="G797" s="1"/>
      <c r="H797" s="1"/>
    </row>
    <row r="798" spans="1:8" ht="15" thickBot="1" x14ac:dyDescent="0.35">
      <c r="A798" s="1"/>
      <c r="B798" s="1"/>
      <c r="C798" s="1"/>
      <c r="D798" s="1"/>
      <c r="E798" s="1"/>
      <c r="F798" s="1"/>
      <c r="G798" s="1"/>
      <c r="H798" s="1"/>
    </row>
    <row r="799" spans="1:8" ht="15" thickBot="1" x14ac:dyDescent="0.35">
      <c r="A799" s="1"/>
      <c r="B799" s="1"/>
      <c r="C799" s="1"/>
      <c r="D799" s="1"/>
      <c r="E799" s="1"/>
      <c r="F799" s="1"/>
      <c r="G799" s="1"/>
      <c r="H799" s="1"/>
    </row>
    <row r="800" spans="1:8" ht="15" thickBot="1" x14ac:dyDescent="0.35">
      <c r="A800" s="1"/>
      <c r="B800" s="1"/>
      <c r="C800" s="1"/>
      <c r="D800" s="1"/>
      <c r="E800" s="1"/>
      <c r="F800" s="1"/>
      <c r="G800" s="1"/>
      <c r="H800" s="1"/>
    </row>
    <row r="801" spans="1:8" ht="15" thickBot="1" x14ac:dyDescent="0.35">
      <c r="A801" s="1"/>
      <c r="B801" s="1"/>
      <c r="C801" s="1"/>
      <c r="D801" s="1"/>
      <c r="E801" s="1"/>
      <c r="F801" s="1"/>
      <c r="G801" s="1"/>
      <c r="H801" s="1"/>
    </row>
    <row r="802" spans="1:8" ht="15" thickBot="1" x14ac:dyDescent="0.35">
      <c r="A802" s="1"/>
      <c r="B802" s="1"/>
      <c r="C802" s="1"/>
      <c r="D802" s="1"/>
      <c r="E802" s="1"/>
      <c r="F802" s="1"/>
      <c r="G802" s="1"/>
      <c r="H802" s="1"/>
    </row>
    <row r="803" spans="1:8" ht="15" thickBot="1" x14ac:dyDescent="0.35">
      <c r="A803" s="1"/>
      <c r="B803" s="1"/>
      <c r="C803" s="1"/>
      <c r="D803" s="1"/>
      <c r="E803" s="1"/>
      <c r="F803" s="1"/>
      <c r="G803" s="1"/>
      <c r="H803" s="1"/>
    </row>
    <row r="804" spans="1:8" ht="15" thickBot="1" x14ac:dyDescent="0.35">
      <c r="A804" s="1"/>
      <c r="B804" s="1"/>
      <c r="C804" s="1"/>
      <c r="D804" s="1"/>
      <c r="E804" s="1"/>
      <c r="F804" s="1"/>
      <c r="G804" s="1"/>
      <c r="H804" s="1"/>
    </row>
    <row r="805" spans="1:8" ht="15" thickBot="1" x14ac:dyDescent="0.35">
      <c r="A805" s="1"/>
      <c r="B805" s="1"/>
      <c r="C805" s="1"/>
      <c r="D805" s="1"/>
      <c r="E805" s="1"/>
      <c r="F805" s="1"/>
      <c r="G805" s="1"/>
      <c r="H805" s="1"/>
    </row>
    <row r="806" spans="1:8" ht="15" thickBot="1" x14ac:dyDescent="0.35">
      <c r="A806" s="1"/>
      <c r="B806" s="1"/>
      <c r="C806" s="1"/>
      <c r="D806" s="1"/>
      <c r="E806" s="1"/>
      <c r="F806" s="1"/>
      <c r="G806" s="1"/>
      <c r="H806" s="1"/>
    </row>
    <row r="807" spans="1:8" ht="15" thickBot="1" x14ac:dyDescent="0.35">
      <c r="A807" s="1"/>
      <c r="B807" s="1"/>
      <c r="C807" s="1"/>
      <c r="D807" s="1"/>
      <c r="E807" s="1"/>
      <c r="F807" s="1"/>
      <c r="G807" s="1"/>
      <c r="H807" s="1"/>
    </row>
    <row r="808" spans="1:8" ht="15" thickBot="1" x14ac:dyDescent="0.35">
      <c r="A808" s="1"/>
      <c r="B808" s="1"/>
      <c r="C808" s="1"/>
      <c r="D808" s="1"/>
      <c r="E808" s="1"/>
      <c r="F808" s="1"/>
      <c r="G808" s="1"/>
      <c r="H808" s="1"/>
    </row>
    <row r="809" spans="1:8" ht="15" thickBot="1" x14ac:dyDescent="0.35">
      <c r="A809" s="1"/>
      <c r="B809" s="1"/>
      <c r="C809" s="1"/>
      <c r="D809" s="1"/>
      <c r="E809" s="1"/>
      <c r="F809" s="1"/>
      <c r="G809" s="1"/>
      <c r="H809" s="1"/>
    </row>
    <row r="810" spans="1:8" ht="15" thickBot="1" x14ac:dyDescent="0.35">
      <c r="A810" s="1"/>
      <c r="B810" s="1"/>
      <c r="C810" s="1"/>
      <c r="D810" s="1"/>
      <c r="E810" s="1"/>
      <c r="F810" s="1"/>
      <c r="G810" s="1"/>
      <c r="H810" s="1"/>
    </row>
    <row r="811" spans="1:8" ht="15" thickBot="1" x14ac:dyDescent="0.35">
      <c r="A811" s="1"/>
      <c r="B811" s="1"/>
      <c r="C811" s="1"/>
      <c r="D811" s="1"/>
      <c r="E811" s="1"/>
      <c r="F811" s="1"/>
      <c r="G811" s="1"/>
      <c r="H811" s="1"/>
    </row>
    <row r="812" spans="1:8" ht="15" thickBot="1" x14ac:dyDescent="0.35">
      <c r="A812" s="1"/>
      <c r="B812" s="1"/>
      <c r="C812" s="1"/>
      <c r="D812" s="1"/>
      <c r="E812" s="1"/>
      <c r="F812" s="1"/>
      <c r="G812" s="1"/>
      <c r="H812" s="1"/>
    </row>
    <row r="813" spans="1:8" ht="15" thickBot="1" x14ac:dyDescent="0.35">
      <c r="A813" s="1"/>
      <c r="B813" s="1"/>
      <c r="C813" s="1"/>
      <c r="D813" s="1"/>
      <c r="E813" s="1"/>
      <c r="F813" s="1"/>
      <c r="G813" s="1"/>
      <c r="H813" s="1"/>
    </row>
    <row r="814" spans="1:8" ht="15" thickBot="1" x14ac:dyDescent="0.35">
      <c r="A814" s="1"/>
      <c r="B814" s="1"/>
      <c r="C814" s="1"/>
      <c r="D814" s="1"/>
      <c r="E814" s="1"/>
      <c r="F814" s="1"/>
      <c r="G814" s="1"/>
      <c r="H814" s="1"/>
    </row>
    <row r="815" spans="1:8" ht="15" thickBot="1" x14ac:dyDescent="0.35">
      <c r="A815" s="1"/>
      <c r="B815" s="1"/>
      <c r="C815" s="1"/>
      <c r="D815" s="1"/>
      <c r="E815" s="1"/>
      <c r="F815" s="1"/>
      <c r="G815" s="1"/>
      <c r="H815" s="1"/>
    </row>
    <row r="816" spans="1:8" ht="15" thickBot="1" x14ac:dyDescent="0.35">
      <c r="A816" s="1"/>
      <c r="B816" s="1"/>
      <c r="C816" s="1"/>
      <c r="D816" s="1"/>
      <c r="E816" s="1"/>
      <c r="F816" s="1"/>
      <c r="G816" s="1"/>
      <c r="H816" s="1"/>
    </row>
    <row r="817" spans="1:8" ht="15" thickBot="1" x14ac:dyDescent="0.35">
      <c r="A817" s="1"/>
      <c r="B817" s="1"/>
      <c r="C817" s="1"/>
      <c r="D817" s="1"/>
      <c r="E817" s="1"/>
      <c r="F817" s="1"/>
      <c r="G817" s="1"/>
      <c r="H817" s="1"/>
    </row>
    <row r="818" spans="1:8" ht="15" thickBot="1" x14ac:dyDescent="0.35">
      <c r="A818" s="1"/>
      <c r="B818" s="1"/>
      <c r="C818" s="1"/>
      <c r="D818" s="1"/>
      <c r="E818" s="1"/>
      <c r="F818" s="1"/>
      <c r="G818" s="1"/>
      <c r="H818" s="1"/>
    </row>
    <row r="819" spans="1:8" ht="15" thickBot="1" x14ac:dyDescent="0.35">
      <c r="A819" s="1"/>
      <c r="B819" s="1"/>
      <c r="C819" s="1"/>
      <c r="D819" s="1"/>
      <c r="E819" s="1"/>
      <c r="F819" s="1"/>
      <c r="G819" s="1"/>
      <c r="H819" s="1"/>
    </row>
    <row r="820" spans="1:8" ht="15" thickBot="1" x14ac:dyDescent="0.35">
      <c r="A820" s="1"/>
      <c r="B820" s="1"/>
      <c r="C820" s="1"/>
      <c r="D820" s="1"/>
      <c r="E820" s="1"/>
      <c r="F820" s="1"/>
      <c r="G820" s="1"/>
      <c r="H820" s="1"/>
    </row>
    <row r="821" spans="1:8" ht="15" thickBot="1" x14ac:dyDescent="0.35">
      <c r="A821" s="1"/>
      <c r="B821" s="1"/>
      <c r="C821" s="1"/>
      <c r="D821" s="1"/>
      <c r="E821" s="1"/>
      <c r="F821" s="1"/>
      <c r="G821" s="1"/>
      <c r="H821" s="1"/>
    </row>
    <row r="822" spans="1:8" ht="15" thickBot="1" x14ac:dyDescent="0.35">
      <c r="A822" s="1"/>
      <c r="B822" s="1"/>
      <c r="C822" s="1"/>
      <c r="D822" s="1"/>
      <c r="E822" s="1"/>
      <c r="F822" s="1"/>
      <c r="G822" s="1"/>
      <c r="H822" s="1"/>
    </row>
    <row r="823" spans="1:8" ht="15" thickBot="1" x14ac:dyDescent="0.35">
      <c r="A823" s="1"/>
      <c r="B823" s="1"/>
      <c r="C823" s="1"/>
      <c r="D823" s="1"/>
      <c r="E823" s="1"/>
      <c r="F823" s="1"/>
      <c r="G823" s="1"/>
      <c r="H823" s="1"/>
    </row>
    <row r="824" spans="1:8" ht="15" thickBot="1" x14ac:dyDescent="0.35">
      <c r="A824" s="1"/>
      <c r="B824" s="1"/>
      <c r="C824" s="1"/>
      <c r="D824" s="1"/>
      <c r="E824" s="1"/>
      <c r="F824" s="1"/>
      <c r="G824" s="1"/>
      <c r="H824" s="1"/>
    </row>
    <row r="825" spans="1:8" ht="15" thickBot="1" x14ac:dyDescent="0.35">
      <c r="A825" s="1"/>
      <c r="B825" s="1"/>
      <c r="C825" s="1"/>
      <c r="D825" s="1"/>
      <c r="E825" s="1"/>
      <c r="F825" s="1"/>
      <c r="G825" s="1"/>
      <c r="H825" s="1"/>
    </row>
    <row r="826" spans="1:8" ht="15" thickBot="1" x14ac:dyDescent="0.35">
      <c r="A826" s="1"/>
      <c r="B826" s="1"/>
      <c r="C826" s="1"/>
      <c r="D826" s="1"/>
      <c r="E826" s="1"/>
      <c r="F826" s="1"/>
      <c r="G826" s="1"/>
      <c r="H826" s="1"/>
    </row>
    <row r="827" spans="1:8" ht="15" thickBot="1" x14ac:dyDescent="0.35">
      <c r="A827" s="1"/>
      <c r="B827" s="1"/>
      <c r="C827" s="1"/>
      <c r="D827" s="1"/>
      <c r="E827" s="1"/>
      <c r="F827" s="1"/>
      <c r="G827" s="1"/>
      <c r="H827" s="1"/>
    </row>
    <row r="828" spans="1:8" ht="15" thickBot="1" x14ac:dyDescent="0.35">
      <c r="A828" s="1"/>
      <c r="B828" s="1"/>
      <c r="C828" s="1"/>
      <c r="D828" s="1"/>
      <c r="E828" s="1"/>
      <c r="F828" s="1"/>
      <c r="G828" s="1"/>
      <c r="H828" s="1"/>
    </row>
    <row r="829" spans="1:8" ht="15" thickBot="1" x14ac:dyDescent="0.35">
      <c r="A829" s="1"/>
      <c r="B829" s="1"/>
      <c r="C829" s="1"/>
      <c r="D829" s="1"/>
      <c r="E829" s="1"/>
      <c r="F829" s="1"/>
      <c r="G829" s="1"/>
      <c r="H829" s="1"/>
    </row>
    <row r="830" spans="1:8" ht="15" thickBot="1" x14ac:dyDescent="0.35">
      <c r="A830" s="1"/>
      <c r="B830" s="1"/>
      <c r="C830" s="1"/>
      <c r="D830" s="1"/>
      <c r="E830" s="1"/>
      <c r="F830" s="1"/>
      <c r="G830" s="1"/>
      <c r="H830" s="1"/>
    </row>
    <row r="831" spans="1:8" ht="15" thickBot="1" x14ac:dyDescent="0.35">
      <c r="A831" s="1"/>
      <c r="B831" s="1"/>
      <c r="C831" s="1"/>
      <c r="D831" s="1"/>
      <c r="E831" s="1"/>
      <c r="F831" s="1"/>
      <c r="G831" s="1"/>
      <c r="H831" s="1"/>
    </row>
    <row r="832" spans="1:8" ht="15" thickBot="1" x14ac:dyDescent="0.35">
      <c r="A832" s="1"/>
      <c r="B832" s="1"/>
      <c r="C832" s="1"/>
      <c r="D832" s="1"/>
      <c r="E832" s="1"/>
      <c r="F832" s="1"/>
      <c r="G832" s="1"/>
      <c r="H832" s="1"/>
    </row>
    <row r="833" spans="1:8" ht="15" thickBot="1" x14ac:dyDescent="0.35">
      <c r="A833" s="1"/>
      <c r="B833" s="1"/>
      <c r="C833" s="1"/>
      <c r="D833" s="1"/>
      <c r="E833" s="1"/>
      <c r="F833" s="1"/>
      <c r="G833" s="1"/>
      <c r="H833" s="1"/>
    </row>
    <row r="834" spans="1:8" ht="15" thickBot="1" x14ac:dyDescent="0.35">
      <c r="A834" s="1"/>
      <c r="B834" s="1"/>
      <c r="C834" s="1"/>
      <c r="D834" s="1"/>
      <c r="E834" s="1"/>
      <c r="F834" s="1"/>
      <c r="G834" s="1"/>
      <c r="H834" s="1"/>
    </row>
    <row r="835" spans="1:8" ht="15" thickBot="1" x14ac:dyDescent="0.35">
      <c r="A835" s="1"/>
      <c r="B835" s="1"/>
      <c r="C835" s="1"/>
      <c r="D835" s="1"/>
      <c r="E835" s="1"/>
      <c r="F835" s="1"/>
      <c r="G835" s="1"/>
      <c r="H835" s="1"/>
    </row>
    <row r="836" spans="1:8" ht="15" thickBot="1" x14ac:dyDescent="0.35">
      <c r="A836" s="1"/>
      <c r="B836" s="1"/>
      <c r="C836" s="1"/>
      <c r="D836" s="1"/>
      <c r="E836" s="1"/>
      <c r="F836" s="1"/>
      <c r="G836" s="1"/>
      <c r="H836" s="1"/>
    </row>
    <row r="837" spans="1:8" ht="15" thickBot="1" x14ac:dyDescent="0.35">
      <c r="A837" s="1"/>
      <c r="B837" s="1"/>
      <c r="C837" s="1"/>
      <c r="D837" s="1"/>
      <c r="E837" s="1"/>
      <c r="F837" s="1"/>
      <c r="G837" s="1"/>
      <c r="H837" s="1"/>
    </row>
    <row r="838" spans="1:8" ht="15" thickBot="1" x14ac:dyDescent="0.35">
      <c r="A838" s="1"/>
      <c r="B838" s="1"/>
      <c r="C838" s="1"/>
      <c r="D838" s="1"/>
      <c r="E838" s="1"/>
      <c r="F838" s="1"/>
      <c r="G838" s="1"/>
      <c r="H838" s="1"/>
    </row>
    <row r="839" spans="1:8" ht="15" thickBot="1" x14ac:dyDescent="0.35">
      <c r="A839" s="1"/>
      <c r="B839" s="1"/>
      <c r="C839" s="1"/>
      <c r="D839" s="1"/>
      <c r="E839" s="1"/>
      <c r="F839" s="1"/>
      <c r="G839" s="1"/>
      <c r="H839" s="1"/>
    </row>
    <row r="840" spans="1:8" ht="15" thickBot="1" x14ac:dyDescent="0.35">
      <c r="A840" s="1"/>
      <c r="B840" s="1"/>
      <c r="C840" s="1"/>
      <c r="D840" s="1"/>
      <c r="E840" s="1"/>
      <c r="F840" s="1"/>
      <c r="G840" s="1"/>
      <c r="H840" s="1"/>
    </row>
    <row r="841" spans="1:8" ht="15" thickBot="1" x14ac:dyDescent="0.35">
      <c r="A841" s="1"/>
      <c r="B841" s="1"/>
      <c r="C841" s="1"/>
      <c r="D841" s="1"/>
      <c r="E841" s="1"/>
      <c r="F841" s="1"/>
      <c r="G841" s="1"/>
      <c r="H841" s="1"/>
    </row>
    <row r="842" spans="1:8" ht="15" thickBot="1" x14ac:dyDescent="0.35">
      <c r="A842" s="1"/>
      <c r="B842" s="1"/>
      <c r="C842" s="1"/>
      <c r="D842" s="1"/>
      <c r="E842" s="1"/>
      <c r="F842" s="1"/>
      <c r="G842" s="1"/>
      <c r="H842" s="1"/>
    </row>
    <row r="843" spans="1:8" ht="15" thickBot="1" x14ac:dyDescent="0.35">
      <c r="A843" s="1"/>
      <c r="B843" s="1"/>
      <c r="C843" s="1"/>
      <c r="D843" s="1"/>
      <c r="E843" s="1"/>
      <c r="F843" s="1"/>
      <c r="G843" s="1"/>
      <c r="H843" s="1"/>
    </row>
    <row r="844" spans="1:8" ht="15" thickBot="1" x14ac:dyDescent="0.35">
      <c r="A844" s="1"/>
      <c r="B844" s="1"/>
      <c r="C844" s="1"/>
      <c r="D844" s="1"/>
      <c r="E844" s="1"/>
      <c r="F844" s="1"/>
      <c r="G844" s="1"/>
      <c r="H844" s="1"/>
    </row>
    <row r="845" spans="1:8" ht="15" thickBot="1" x14ac:dyDescent="0.35">
      <c r="A845" s="1"/>
      <c r="B845" s="1"/>
      <c r="C845" s="1"/>
      <c r="D845" s="1"/>
      <c r="E845" s="1"/>
      <c r="F845" s="1"/>
      <c r="G845" s="1"/>
      <c r="H845" s="1"/>
    </row>
    <row r="846" spans="1:8" ht="15" thickBot="1" x14ac:dyDescent="0.35">
      <c r="A846" s="1"/>
      <c r="B846" s="1"/>
      <c r="C846" s="1"/>
      <c r="D846" s="1"/>
      <c r="E846" s="1"/>
      <c r="F846" s="1"/>
      <c r="G846" s="1"/>
      <c r="H846" s="1"/>
    </row>
    <row r="847" spans="1:8" ht="15" thickBot="1" x14ac:dyDescent="0.35">
      <c r="A847" s="1"/>
      <c r="B847" s="1"/>
      <c r="C847" s="1"/>
      <c r="D847" s="1"/>
      <c r="E847" s="1"/>
      <c r="F847" s="1"/>
      <c r="G847" s="1"/>
      <c r="H847" s="1"/>
    </row>
    <row r="848" spans="1:8" ht="15" thickBot="1" x14ac:dyDescent="0.35">
      <c r="A848" s="1"/>
      <c r="B848" s="1"/>
      <c r="C848" s="1"/>
      <c r="D848" s="1"/>
      <c r="E848" s="1"/>
      <c r="F848" s="1"/>
      <c r="G848" s="1"/>
      <c r="H848" s="1"/>
    </row>
    <row r="849" spans="1:8" ht="15" thickBot="1" x14ac:dyDescent="0.35">
      <c r="A849" s="1"/>
      <c r="B849" s="1"/>
      <c r="C849" s="1"/>
      <c r="D849" s="1"/>
      <c r="E849" s="1"/>
      <c r="F849" s="1"/>
      <c r="G849" s="1"/>
      <c r="H849" s="1"/>
    </row>
    <row r="850" spans="1:8" ht="15" thickBot="1" x14ac:dyDescent="0.35">
      <c r="A850" s="1"/>
      <c r="B850" s="1"/>
      <c r="C850" s="1"/>
      <c r="D850" s="1"/>
      <c r="E850" s="1"/>
      <c r="F850" s="1"/>
      <c r="G850" s="1"/>
      <c r="H850" s="1"/>
    </row>
    <row r="851" spans="1:8" ht="15" thickBot="1" x14ac:dyDescent="0.35">
      <c r="A851" s="1"/>
      <c r="B851" s="1"/>
      <c r="C851" s="1"/>
      <c r="D851" s="1"/>
      <c r="E851" s="1"/>
      <c r="F851" s="1"/>
      <c r="G851" s="1"/>
      <c r="H851" s="1"/>
    </row>
    <row r="852" spans="1:8" ht="15" thickBot="1" x14ac:dyDescent="0.35">
      <c r="A852" s="1"/>
      <c r="B852" s="1"/>
      <c r="C852" s="1"/>
      <c r="D852" s="1"/>
      <c r="E852" s="1"/>
      <c r="F852" s="1"/>
      <c r="G852" s="1"/>
      <c r="H852" s="1"/>
    </row>
    <row r="853" spans="1:8" ht="15" thickBot="1" x14ac:dyDescent="0.35">
      <c r="A853" s="1"/>
      <c r="B853" s="1"/>
      <c r="C853" s="1"/>
      <c r="D853" s="1"/>
      <c r="E853" s="1"/>
      <c r="F853" s="1"/>
      <c r="G853" s="1"/>
      <c r="H853" s="1"/>
    </row>
    <row r="854" spans="1:8" ht="15" thickBot="1" x14ac:dyDescent="0.35">
      <c r="A854" s="1"/>
      <c r="B854" s="1"/>
      <c r="C854" s="1"/>
      <c r="D854" s="1"/>
      <c r="E854" s="1"/>
      <c r="F854" s="1"/>
      <c r="G854" s="1"/>
      <c r="H854" s="1"/>
    </row>
    <row r="855" spans="1:8" ht="15" thickBot="1" x14ac:dyDescent="0.35">
      <c r="A855" s="1"/>
      <c r="B855" s="1"/>
      <c r="C855" s="1"/>
      <c r="D855" s="1"/>
      <c r="E855" s="1"/>
      <c r="F855" s="1"/>
      <c r="G855" s="1"/>
      <c r="H855" s="1"/>
    </row>
    <row r="856" spans="1:8" ht="15" thickBot="1" x14ac:dyDescent="0.35">
      <c r="A856" s="1"/>
      <c r="B856" s="1"/>
      <c r="C856" s="1"/>
      <c r="D856" s="1"/>
      <c r="E856" s="1"/>
      <c r="F856" s="1"/>
      <c r="G856" s="1"/>
      <c r="H856" s="1"/>
    </row>
    <row r="857" spans="1:8" ht="15" thickBot="1" x14ac:dyDescent="0.35">
      <c r="A857" s="1"/>
      <c r="B857" s="1"/>
      <c r="C857" s="1"/>
      <c r="D857" s="1"/>
      <c r="E857" s="1"/>
      <c r="F857" s="1"/>
      <c r="G857" s="1"/>
      <c r="H857" s="1"/>
    </row>
    <row r="858" spans="1:8" ht="15" thickBot="1" x14ac:dyDescent="0.35">
      <c r="A858" s="1"/>
      <c r="B858" s="1"/>
      <c r="C858" s="1"/>
      <c r="D858" s="1"/>
      <c r="E858" s="1"/>
      <c r="F858" s="1"/>
      <c r="G858" s="1"/>
      <c r="H858" s="1"/>
    </row>
    <row r="859" spans="1:8" ht="15" thickBot="1" x14ac:dyDescent="0.35">
      <c r="A859" s="1"/>
      <c r="B859" s="1"/>
      <c r="C859" s="1"/>
      <c r="D859" s="1"/>
      <c r="E859" s="1"/>
      <c r="F859" s="1"/>
      <c r="G859" s="1"/>
      <c r="H859" s="1"/>
    </row>
    <row r="860" spans="1:8" ht="15" thickBot="1" x14ac:dyDescent="0.35">
      <c r="A860" s="1"/>
      <c r="B860" s="1"/>
      <c r="C860" s="1"/>
      <c r="D860" s="1"/>
      <c r="E860" s="1"/>
      <c r="F860" s="1"/>
      <c r="G860" s="1"/>
      <c r="H860" s="1"/>
    </row>
    <row r="861" spans="1:8" ht="15" thickBot="1" x14ac:dyDescent="0.35">
      <c r="A861" s="1"/>
      <c r="B861" s="1"/>
      <c r="C861" s="1"/>
      <c r="D861" s="1"/>
      <c r="E861" s="1"/>
      <c r="F861" s="1"/>
      <c r="G861" s="1"/>
      <c r="H861" s="1"/>
    </row>
    <row r="862" spans="1:8" ht="15" thickBot="1" x14ac:dyDescent="0.35">
      <c r="A862" s="1"/>
      <c r="B862" s="1"/>
      <c r="C862" s="1"/>
      <c r="D862" s="1"/>
      <c r="E862" s="1"/>
      <c r="F862" s="1"/>
      <c r="G862" s="1"/>
      <c r="H862" s="1"/>
    </row>
    <row r="863" spans="1:8" ht="15" thickBot="1" x14ac:dyDescent="0.35">
      <c r="A863" s="1"/>
      <c r="B863" s="1"/>
      <c r="C863" s="1"/>
      <c r="D863" s="1"/>
      <c r="E863" s="1"/>
      <c r="F863" s="1"/>
      <c r="G863" s="1"/>
      <c r="H863" s="1"/>
    </row>
    <row r="864" spans="1:8" ht="15" thickBot="1" x14ac:dyDescent="0.35">
      <c r="A864" s="1"/>
      <c r="B864" s="1"/>
      <c r="C864" s="1"/>
      <c r="D864" s="1"/>
      <c r="E864" s="1"/>
      <c r="F864" s="1"/>
      <c r="G864" s="1"/>
      <c r="H864" s="1"/>
    </row>
    <row r="865" spans="1:8" ht="15" thickBot="1" x14ac:dyDescent="0.35">
      <c r="A865" s="1"/>
      <c r="B865" s="1"/>
      <c r="C865" s="1"/>
      <c r="D865" s="1"/>
      <c r="E865" s="1"/>
      <c r="F865" s="1"/>
      <c r="G865" s="1"/>
      <c r="H865" s="1"/>
    </row>
    <row r="866" spans="1:8" ht="15" thickBot="1" x14ac:dyDescent="0.35">
      <c r="A866" s="1"/>
      <c r="B866" s="1"/>
      <c r="C866" s="1"/>
      <c r="D866" s="1"/>
      <c r="E866" s="1"/>
      <c r="F866" s="1"/>
      <c r="G866" s="1"/>
      <c r="H866" s="1"/>
    </row>
    <row r="867" spans="1:8" ht="15" thickBot="1" x14ac:dyDescent="0.35">
      <c r="A867" s="1"/>
      <c r="B867" s="1"/>
      <c r="C867" s="1"/>
      <c r="D867" s="1"/>
      <c r="E867" s="1"/>
      <c r="F867" s="1"/>
      <c r="G867" s="1"/>
      <c r="H867" s="1"/>
    </row>
    <row r="868" spans="1:8" ht="15" thickBot="1" x14ac:dyDescent="0.35">
      <c r="A868" s="1"/>
      <c r="B868" s="1"/>
      <c r="C868" s="1"/>
      <c r="D868" s="1"/>
      <c r="E868" s="1"/>
      <c r="F868" s="1"/>
      <c r="G868" s="1"/>
      <c r="H868" s="1"/>
    </row>
    <row r="869" spans="1:8" ht="15" thickBot="1" x14ac:dyDescent="0.35">
      <c r="A869" s="1"/>
      <c r="B869" s="1"/>
      <c r="C869" s="1"/>
      <c r="D869" s="1"/>
      <c r="E869" s="1"/>
      <c r="F869" s="1"/>
      <c r="G869" s="1"/>
      <c r="H869" s="1"/>
    </row>
    <row r="870" spans="1:8" ht="15" thickBot="1" x14ac:dyDescent="0.35">
      <c r="A870" s="1"/>
      <c r="B870" s="1"/>
      <c r="C870" s="1"/>
      <c r="D870" s="1"/>
      <c r="E870" s="1"/>
      <c r="F870" s="1"/>
      <c r="G870" s="1"/>
      <c r="H870" s="1"/>
    </row>
    <row r="871" spans="1:8" ht="15" thickBot="1" x14ac:dyDescent="0.35">
      <c r="A871" s="1"/>
      <c r="B871" s="1"/>
      <c r="C871" s="1"/>
      <c r="D871" s="1"/>
      <c r="E871" s="1"/>
      <c r="F871" s="1"/>
      <c r="G871" s="1"/>
      <c r="H871" s="1"/>
    </row>
    <row r="872" spans="1:8" ht="15" thickBot="1" x14ac:dyDescent="0.35">
      <c r="A872" s="1"/>
      <c r="B872" s="1"/>
      <c r="C872" s="1"/>
      <c r="D872" s="1"/>
      <c r="E872" s="1"/>
      <c r="F872" s="1"/>
      <c r="G872" s="1"/>
      <c r="H872" s="1"/>
    </row>
    <row r="873" spans="1:8" ht="15" thickBot="1" x14ac:dyDescent="0.35">
      <c r="A873" s="1"/>
      <c r="B873" s="1"/>
      <c r="C873" s="1"/>
      <c r="D873" s="1"/>
      <c r="E873" s="1"/>
      <c r="F873" s="1"/>
      <c r="G873" s="1"/>
      <c r="H873" s="1"/>
    </row>
    <row r="874" spans="1:8" ht="15" thickBot="1" x14ac:dyDescent="0.35">
      <c r="A874" s="1"/>
      <c r="B874" s="1"/>
      <c r="C874" s="1"/>
      <c r="D874" s="1"/>
      <c r="E874" s="1"/>
      <c r="F874" s="1"/>
      <c r="G874" s="1"/>
      <c r="H874" s="1"/>
    </row>
    <row r="875" spans="1:8" ht="15" thickBot="1" x14ac:dyDescent="0.35">
      <c r="A875" s="1"/>
      <c r="B875" s="1"/>
      <c r="C875" s="1"/>
      <c r="D875" s="1"/>
      <c r="E875" s="1"/>
      <c r="F875" s="1"/>
      <c r="G875" s="1"/>
      <c r="H875" s="1"/>
    </row>
    <row r="876" spans="1:8" ht="15" thickBot="1" x14ac:dyDescent="0.35">
      <c r="A876" s="1"/>
      <c r="B876" s="1"/>
      <c r="C876" s="1"/>
      <c r="D876" s="1"/>
      <c r="E876" s="1"/>
      <c r="F876" s="1"/>
      <c r="G876" s="1"/>
      <c r="H876" s="1"/>
    </row>
    <row r="877" spans="1:8" ht="15" thickBot="1" x14ac:dyDescent="0.35">
      <c r="A877" s="1"/>
      <c r="B877" s="1"/>
      <c r="C877" s="1"/>
      <c r="D877" s="1"/>
      <c r="E877" s="1"/>
      <c r="F877" s="1"/>
      <c r="G877" s="1"/>
      <c r="H877" s="1"/>
    </row>
    <row r="878" spans="1:8" ht="15" thickBot="1" x14ac:dyDescent="0.35">
      <c r="A878" s="1"/>
      <c r="B878" s="1"/>
      <c r="C878" s="1"/>
      <c r="D878" s="1"/>
      <c r="E878" s="1"/>
      <c r="F878" s="1"/>
      <c r="G878" s="1"/>
      <c r="H878" s="1"/>
    </row>
    <row r="879" spans="1:8" ht="15" thickBot="1" x14ac:dyDescent="0.35">
      <c r="A879" s="1"/>
      <c r="B879" s="1"/>
      <c r="C879" s="1"/>
      <c r="D879" s="1"/>
      <c r="E879" s="1"/>
      <c r="F879" s="1"/>
      <c r="G879" s="1"/>
      <c r="H879" s="1"/>
    </row>
    <row r="880" spans="1:8" ht="15" thickBot="1" x14ac:dyDescent="0.35">
      <c r="A880" s="1"/>
      <c r="B880" s="1"/>
      <c r="C880" s="1"/>
      <c r="D880" s="1"/>
      <c r="E880" s="1"/>
      <c r="F880" s="1"/>
      <c r="G880" s="1"/>
      <c r="H880" s="1"/>
    </row>
    <row r="881" spans="1:8" ht="15" thickBot="1" x14ac:dyDescent="0.35">
      <c r="A881" s="1"/>
      <c r="B881" s="1"/>
      <c r="C881" s="1"/>
      <c r="D881" s="1"/>
      <c r="E881" s="1"/>
      <c r="F881" s="1"/>
      <c r="G881" s="1"/>
      <c r="H881" s="1"/>
    </row>
    <row r="882" spans="1:8" ht="15" thickBot="1" x14ac:dyDescent="0.35">
      <c r="A882" s="1"/>
      <c r="B882" s="1"/>
      <c r="C882" s="1"/>
      <c r="D882" s="1"/>
      <c r="E882" s="1"/>
      <c r="F882" s="1"/>
      <c r="G882" s="1"/>
      <c r="H882" s="1"/>
    </row>
    <row r="883" spans="1:8" ht="15" thickBot="1" x14ac:dyDescent="0.35">
      <c r="A883" s="1"/>
      <c r="B883" s="1"/>
      <c r="C883" s="1"/>
      <c r="D883" s="1"/>
      <c r="E883" s="1"/>
      <c r="F883" s="1"/>
      <c r="G883" s="1"/>
      <c r="H883" s="1"/>
    </row>
    <row r="884" spans="1:8" ht="15" thickBot="1" x14ac:dyDescent="0.35">
      <c r="A884" s="1"/>
      <c r="B884" s="1"/>
      <c r="C884" s="1"/>
      <c r="D884" s="1"/>
      <c r="E884" s="1"/>
      <c r="F884" s="1"/>
      <c r="G884" s="1"/>
      <c r="H884" s="1"/>
    </row>
    <row r="885" spans="1:8" ht="15" thickBot="1" x14ac:dyDescent="0.35">
      <c r="A885" s="1"/>
      <c r="B885" s="1"/>
      <c r="C885" s="1"/>
      <c r="D885" s="1"/>
      <c r="E885" s="1"/>
      <c r="F885" s="1"/>
      <c r="G885" s="1"/>
      <c r="H885" s="1"/>
    </row>
    <row r="886" spans="1:8" ht="15" thickBot="1" x14ac:dyDescent="0.35">
      <c r="A886" s="1"/>
      <c r="B886" s="1"/>
      <c r="C886" s="1"/>
      <c r="D886" s="1"/>
      <c r="E886" s="1"/>
      <c r="F886" s="1"/>
      <c r="G886" s="1"/>
      <c r="H886" s="1"/>
    </row>
    <row r="887" spans="1:8" ht="15" thickBot="1" x14ac:dyDescent="0.35">
      <c r="A887" s="1"/>
      <c r="B887" s="1"/>
      <c r="C887" s="1"/>
      <c r="D887" s="1"/>
      <c r="E887" s="1"/>
      <c r="F887" s="1"/>
      <c r="G887" s="1"/>
      <c r="H887" s="1"/>
    </row>
    <row r="888" spans="1:8" ht="15" thickBot="1" x14ac:dyDescent="0.35">
      <c r="A888" s="1"/>
      <c r="B888" s="1"/>
      <c r="C888" s="1"/>
      <c r="D888" s="1"/>
      <c r="E888" s="1"/>
      <c r="F888" s="1"/>
      <c r="G888" s="1"/>
      <c r="H888" s="1"/>
    </row>
    <row r="889" spans="1:8" ht="15" thickBot="1" x14ac:dyDescent="0.35">
      <c r="A889" s="1"/>
      <c r="B889" s="1"/>
      <c r="C889" s="1"/>
      <c r="D889" s="1"/>
      <c r="E889" s="1"/>
      <c r="F889" s="1"/>
      <c r="G889" s="1"/>
      <c r="H889" s="1"/>
    </row>
    <row r="890" spans="1:8" ht="15" thickBot="1" x14ac:dyDescent="0.35">
      <c r="A890" s="1"/>
      <c r="B890" s="1"/>
      <c r="C890" s="1"/>
      <c r="D890" s="1"/>
      <c r="E890" s="1"/>
      <c r="F890" s="1"/>
      <c r="G890" s="1"/>
      <c r="H890" s="1"/>
    </row>
    <row r="891" spans="1:8" ht="15" thickBot="1" x14ac:dyDescent="0.35">
      <c r="A891" s="1"/>
      <c r="B891" s="1"/>
      <c r="C891" s="1"/>
      <c r="D891" s="1"/>
      <c r="E891" s="1"/>
      <c r="F891" s="1"/>
      <c r="G891" s="1"/>
      <c r="H891" s="1"/>
    </row>
    <row r="892" spans="1:8" ht="15" thickBot="1" x14ac:dyDescent="0.35">
      <c r="A892" s="1"/>
      <c r="B892" s="1"/>
      <c r="C892" s="1"/>
      <c r="D892" s="1"/>
      <c r="E892" s="1"/>
      <c r="F892" s="1"/>
      <c r="G892" s="1"/>
      <c r="H892" s="1"/>
    </row>
    <row r="893" spans="1:8" ht="15" thickBot="1" x14ac:dyDescent="0.35">
      <c r="A893" s="1"/>
      <c r="B893" s="1"/>
      <c r="C893" s="1"/>
      <c r="D893" s="1"/>
      <c r="E893" s="1"/>
      <c r="F893" s="1"/>
      <c r="G893" s="1"/>
      <c r="H893" s="1"/>
    </row>
    <row r="894" spans="1:8" ht="15" thickBot="1" x14ac:dyDescent="0.35">
      <c r="A894" s="1"/>
      <c r="B894" s="1"/>
      <c r="C894" s="1"/>
      <c r="D894" s="1"/>
      <c r="E894" s="1"/>
      <c r="F894" s="1"/>
      <c r="G894" s="1"/>
      <c r="H894" s="1"/>
    </row>
    <row r="895" spans="1:8" ht="15" thickBot="1" x14ac:dyDescent="0.35">
      <c r="A895" s="1"/>
      <c r="B895" s="1"/>
      <c r="C895" s="1"/>
      <c r="D895" s="1"/>
      <c r="E895" s="1"/>
      <c r="F895" s="1"/>
      <c r="G895" s="1"/>
      <c r="H895" s="1"/>
    </row>
    <row r="896" spans="1:8" ht="15" thickBot="1" x14ac:dyDescent="0.35">
      <c r="A896" s="1"/>
      <c r="B896" s="1"/>
      <c r="C896" s="1"/>
      <c r="D896" s="1"/>
      <c r="E896" s="1"/>
      <c r="F896" s="1"/>
      <c r="G896" s="1"/>
      <c r="H896" s="1"/>
    </row>
    <row r="897" spans="1:8" ht="15" thickBot="1" x14ac:dyDescent="0.35">
      <c r="A897" s="1"/>
      <c r="B897" s="1"/>
      <c r="C897" s="1"/>
      <c r="D897" s="1"/>
      <c r="E897" s="1"/>
      <c r="F897" s="1"/>
      <c r="G897" s="1"/>
      <c r="H897" s="1"/>
    </row>
    <row r="898" spans="1:8" ht="15" thickBot="1" x14ac:dyDescent="0.35">
      <c r="A898" s="1"/>
      <c r="B898" s="1"/>
      <c r="C898" s="1"/>
      <c r="D898" s="1"/>
      <c r="E898" s="1"/>
      <c r="F898" s="1"/>
      <c r="G898" s="1"/>
      <c r="H898" s="1"/>
    </row>
    <row r="899" spans="1:8" ht="15" thickBot="1" x14ac:dyDescent="0.35">
      <c r="A899" s="1"/>
      <c r="B899" s="1"/>
      <c r="C899" s="1"/>
      <c r="D899" s="1"/>
      <c r="E899" s="1"/>
      <c r="F899" s="1"/>
      <c r="G899" s="1"/>
      <c r="H899" s="1"/>
    </row>
    <row r="900" spans="1:8" ht="15" thickBot="1" x14ac:dyDescent="0.35">
      <c r="A900" s="1"/>
      <c r="B900" s="1"/>
      <c r="C900" s="1"/>
      <c r="D900" s="1"/>
      <c r="E900" s="1"/>
      <c r="F900" s="1"/>
      <c r="G900" s="1"/>
      <c r="H900" s="1"/>
    </row>
    <row r="901" spans="1:8" ht="15" thickBot="1" x14ac:dyDescent="0.35">
      <c r="A901" s="1"/>
      <c r="B901" s="1"/>
      <c r="C901" s="1"/>
      <c r="D901" s="1"/>
      <c r="E901" s="1"/>
      <c r="F901" s="1"/>
      <c r="G901" s="1"/>
      <c r="H901" s="1"/>
    </row>
    <row r="902" spans="1:8" ht="15" thickBot="1" x14ac:dyDescent="0.35">
      <c r="A902" s="1"/>
      <c r="B902" s="1"/>
      <c r="C902" s="1"/>
      <c r="D902" s="1"/>
      <c r="E902" s="1"/>
      <c r="F902" s="1"/>
      <c r="G902" s="1"/>
      <c r="H902" s="1"/>
    </row>
    <row r="903" spans="1:8" ht="15" thickBot="1" x14ac:dyDescent="0.35">
      <c r="A903" s="1"/>
      <c r="B903" s="1"/>
      <c r="C903" s="1"/>
      <c r="D903" s="1"/>
      <c r="E903" s="1"/>
      <c r="F903" s="1"/>
      <c r="G903" s="1"/>
      <c r="H903" s="1"/>
    </row>
    <row r="904" spans="1:8" ht="15" thickBot="1" x14ac:dyDescent="0.35">
      <c r="A904" s="1"/>
      <c r="B904" s="1"/>
      <c r="C904" s="1"/>
      <c r="D904" s="1"/>
      <c r="E904" s="1"/>
      <c r="F904" s="1"/>
      <c r="G904" s="1"/>
      <c r="H904" s="1"/>
    </row>
    <row r="905" spans="1:8" ht="15" thickBot="1" x14ac:dyDescent="0.35">
      <c r="A905" s="1"/>
      <c r="B905" s="1"/>
      <c r="C905" s="1"/>
      <c r="D905" s="1"/>
      <c r="E905" s="1"/>
      <c r="F905" s="1"/>
      <c r="G905" s="1"/>
      <c r="H905" s="1"/>
    </row>
    <row r="906" spans="1:8" ht="15" thickBot="1" x14ac:dyDescent="0.35">
      <c r="A906" s="1"/>
      <c r="B906" s="1"/>
      <c r="C906" s="1"/>
      <c r="D906" s="1"/>
      <c r="E906" s="1"/>
      <c r="F906" s="1"/>
      <c r="G906" s="1"/>
      <c r="H906" s="1"/>
    </row>
    <row r="907" spans="1:8" ht="15" thickBot="1" x14ac:dyDescent="0.35">
      <c r="A907" s="1"/>
      <c r="B907" s="1"/>
      <c r="C907" s="1"/>
      <c r="D907" s="1"/>
      <c r="E907" s="1"/>
      <c r="F907" s="1"/>
      <c r="G907" s="1"/>
      <c r="H907" s="1"/>
    </row>
    <row r="908" spans="1:8" ht="15" thickBot="1" x14ac:dyDescent="0.35">
      <c r="A908" s="1"/>
      <c r="B908" s="1"/>
      <c r="C908" s="1"/>
      <c r="D908" s="1"/>
      <c r="E908" s="1"/>
      <c r="F908" s="1"/>
      <c r="G908" s="1"/>
      <c r="H908" s="1"/>
    </row>
    <row r="909" spans="1:8" ht="15" thickBot="1" x14ac:dyDescent="0.35">
      <c r="A909" s="1"/>
      <c r="B909" s="1"/>
      <c r="C909" s="1"/>
      <c r="D909" s="1"/>
      <c r="E909" s="1"/>
      <c r="F909" s="1"/>
      <c r="G909" s="1"/>
      <c r="H909" s="1"/>
    </row>
    <row r="910" spans="1:8" ht="15" thickBot="1" x14ac:dyDescent="0.35">
      <c r="A910" s="1"/>
      <c r="B910" s="1"/>
      <c r="C910" s="1"/>
      <c r="D910" s="1"/>
      <c r="E910" s="1"/>
      <c r="F910" s="1"/>
      <c r="G910" s="1"/>
      <c r="H910" s="1"/>
    </row>
    <row r="911" spans="1:8" ht="15" thickBot="1" x14ac:dyDescent="0.35">
      <c r="A911" s="1"/>
      <c r="B911" s="1"/>
      <c r="C911" s="1"/>
      <c r="D911" s="1"/>
      <c r="E911" s="1"/>
      <c r="F911" s="1"/>
      <c r="G911" s="1"/>
      <c r="H911" s="1"/>
    </row>
    <row r="912" spans="1:8" ht="15" thickBot="1" x14ac:dyDescent="0.35">
      <c r="A912" s="1"/>
      <c r="B912" s="1"/>
      <c r="C912" s="1"/>
      <c r="D912" s="1"/>
      <c r="E912" s="1"/>
      <c r="F912" s="1"/>
      <c r="G912" s="1"/>
      <c r="H912" s="1"/>
    </row>
    <row r="913" spans="1:8" ht="15" thickBot="1" x14ac:dyDescent="0.35">
      <c r="A913" s="1"/>
      <c r="B913" s="1"/>
      <c r="C913" s="1"/>
      <c r="D913" s="1"/>
      <c r="E913" s="1"/>
      <c r="F913" s="1"/>
      <c r="G913" s="1"/>
      <c r="H913" s="1"/>
    </row>
    <row r="914" spans="1:8" ht="15" thickBot="1" x14ac:dyDescent="0.35">
      <c r="A914" s="1"/>
      <c r="B914" s="1"/>
      <c r="C914" s="1"/>
      <c r="D914" s="1"/>
      <c r="E914" s="1"/>
      <c r="F914" s="1"/>
      <c r="G914" s="1"/>
      <c r="H914" s="1"/>
    </row>
    <row r="915" spans="1:8" ht="15" thickBot="1" x14ac:dyDescent="0.35">
      <c r="A915" s="1"/>
      <c r="B915" s="1"/>
      <c r="C915" s="1"/>
      <c r="D915" s="1"/>
      <c r="E915" s="1"/>
      <c r="F915" s="1"/>
      <c r="G915" s="1"/>
      <c r="H915" s="1"/>
    </row>
    <row r="916" spans="1:8" ht="15" thickBot="1" x14ac:dyDescent="0.35">
      <c r="A916" s="1"/>
      <c r="B916" s="1"/>
      <c r="C916" s="1"/>
      <c r="D916" s="1"/>
      <c r="E916" s="1"/>
      <c r="F916" s="1"/>
      <c r="G916" s="1"/>
      <c r="H916" s="1"/>
    </row>
    <row r="917" spans="1:8" ht="15" thickBot="1" x14ac:dyDescent="0.35">
      <c r="A917" s="1"/>
      <c r="B917" s="1"/>
      <c r="C917" s="1"/>
      <c r="D917" s="1"/>
      <c r="E917" s="1"/>
      <c r="F917" s="1"/>
      <c r="G917" s="1"/>
      <c r="H917" s="1"/>
    </row>
    <row r="918" spans="1:8" ht="15" thickBot="1" x14ac:dyDescent="0.35">
      <c r="A918" s="1"/>
      <c r="B918" s="1"/>
      <c r="C918" s="1"/>
      <c r="D918" s="1"/>
      <c r="E918" s="1"/>
      <c r="F918" s="1"/>
      <c r="G918" s="1"/>
      <c r="H918" s="1"/>
    </row>
    <row r="919" spans="1:8" ht="15" thickBot="1" x14ac:dyDescent="0.35">
      <c r="A919" s="1"/>
      <c r="B919" s="1"/>
      <c r="C919" s="1"/>
      <c r="D919" s="1"/>
      <c r="E919" s="1"/>
      <c r="F919" s="1"/>
      <c r="G919" s="1"/>
      <c r="H919" s="1"/>
    </row>
    <row r="920" spans="1:8" ht="15" thickBot="1" x14ac:dyDescent="0.35">
      <c r="A920" s="1"/>
      <c r="B920" s="1"/>
      <c r="C920" s="1"/>
      <c r="D920" s="1"/>
      <c r="E920" s="1"/>
      <c r="F920" s="1"/>
      <c r="G920" s="1"/>
      <c r="H920" s="1"/>
    </row>
    <row r="921" spans="1:8" ht="15" thickBot="1" x14ac:dyDescent="0.35">
      <c r="A921" s="1"/>
      <c r="B921" s="1"/>
      <c r="C921" s="1"/>
      <c r="D921" s="1"/>
      <c r="E921" s="1"/>
      <c r="F921" s="1"/>
      <c r="G921" s="1"/>
      <c r="H921" s="1"/>
    </row>
    <row r="922" spans="1:8" ht="15" thickBot="1" x14ac:dyDescent="0.35">
      <c r="A922" s="1"/>
      <c r="B922" s="1"/>
      <c r="C922" s="1"/>
      <c r="D922" s="1"/>
      <c r="E922" s="1"/>
      <c r="F922" s="1"/>
      <c r="G922" s="1"/>
      <c r="H922" s="1"/>
    </row>
    <row r="923" spans="1:8" ht="15" thickBot="1" x14ac:dyDescent="0.35">
      <c r="A923" s="1"/>
      <c r="B923" s="1"/>
      <c r="C923" s="1"/>
      <c r="D923" s="1"/>
      <c r="E923" s="1"/>
      <c r="F923" s="1"/>
      <c r="G923" s="1"/>
      <c r="H923" s="1"/>
    </row>
    <row r="924" spans="1:8" ht="15" thickBot="1" x14ac:dyDescent="0.35">
      <c r="A924" s="1"/>
      <c r="B924" s="1"/>
      <c r="C924" s="1"/>
      <c r="D924" s="1"/>
      <c r="E924" s="1"/>
      <c r="F924" s="1"/>
      <c r="G924" s="1"/>
      <c r="H924" s="1"/>
    </row>
    <row r="925" spans="1:8" ht="15" thickBot="1" x14ac:dyDescent="0.35">
      <c r="A925" s="1"/>
      <c r="B925" s="1"/>
      <c r="C925" s="1"/>
      <c r="D925" s="1"/>
      <c r="E925" s="1"/>
      <c r="F925" s="1"/>
      <c r="G925" s="1"/>
      <c r="H925" s="1"/>
    </row>
    <row r="926" spans="1:8" ht="15" thickBot="1" x14ac:dyDescent="0.35">
      <c r="A926" s="1"/>
      <c r="B926" s="1"/>
      <c r="C926" s="1"/>
      <c r="D926" s="1"/>
      <c r="E926" s="1"/>
      <c r="F926" s="1"/>
      <c r="G926" s="1"/>
      <c r="H926" s="1"/>
    </row>
    <row r="927" spans="1:8" ht="15" thickBot="1" x14ac:dyDescent="0.35">
      <c r="A927" s="1"/>
      <c r="B927" s="1"/>
      <c r="C927" s="1"/>
      <c r="D927" s="1"/>
      <c r="E927" s="1"/>
      <c r="F927" s="1"/>
      <c r="G927" s="1"/>
      <c r="H927" s="1"/>
    </row>
    <row r="928" spans="1:8" ht="15" thickBot="1" x14ac:dyDescent="0.35">
      <c r="A928" s="1"/>
      <c r="B928" s="1"/>
      <c r="C928" s="1"/>
      <c r="D928" s="1"/>
      <c r="E928" s="1"/>
      <c r="F928" s="1"/>
      <c r="G928" s="1"/>
      <c r="H928" s="1"/>
    </row>
    <row r="929" spans="1:8" ht="15" thickBot="1" x14ac:dyDescent="0.35">
      <c r="A929" s="1"/>
      <c r="B929" s="1"/>
      <c r="C929" s="1"/>
      <c r="D929" s="1"/>
      <c r="E929" s="1"/>
      <c r="F929" s="1"/>
      <c r="G929" s="1"/>
      <c r="H929" s="1"/>
    </row>
    <row r="930" spans="1:8" ht="15" thickBot="1" x14ac:dyDescent="0.35">
      <c r="A930" s="1"/>
      <c r="B930" s="1"/>
      <c r="C930" s="1"/>
      <c r="D930" s="1"/>
      <c r="E930" s="1"/>
      <c r="F930" s="1"/>
      <c r="G930" s="1"/>
      <c r="H930" s="1"/>
    </row>
    <row r="931" spans="1:8" ht="15" thickBot="1" x14ac:dyDescent="0.35">
      <c r="A931" s="1"/>
      <c r="B931" s="1"/>
      <c r="C931" s="1"/>
      <c r="D931" s="1"/>
      <c r="E931" s="1"/>
      <c r="F931" s="1"/>
      <c r="G931" s="1"/>
      <c r="H931" s="1"/>
    </row>
    <row r="932" spans="1:8" ht="15" thickBot="1" x14ac:dyDescent="0.35">
      <c r="A932" s="1"/>
      <c r="B932" s="1"/>
      <c r="C932" s="1"/>
      <c r="D932" s="1"/>
      <c r="E932" s="1"/>
      <c r="F932" s="1"/>
      <c r="G932" s="1"/>
      <c r="H932" s="1"/>
    </row>
    <row r="933" spans="1:8" ht="15" thickBot="1" x14ac:dyDescent="0.35">
      <c r="A933" s="1"/>
      <c r="B933" s="1"/>
      <c r="C933" s="1"/>
      <c r="D933" s="1"/>
      <c r="E933" s="1"/>
      <c r="F933" s="1"/>
      <c r="G933" s="1"/>
      <c r="H933" s="1"/>
    </row>
    <row r="934" spans="1:8" ht="15" thickBot="1" x14ac:dyDescent="0.35">
      <c r="A934" s="1"/>
      <c r="B934" s="1"/>
      <c r="C934" s="1"/>
      <c r="D934" s="1"/>
      <c r="E934" s="1"/>
      <c r="F934" s="1"/>
      <c r="G934" s="1"/>
      <c r="H934" s="1"/>
    </row>
    <row r="935" spans="1:8" ht="15" thickBot="1" x14ac:dyDescent="0.35">
      <c r="A935" s="1"/>
      <c r="B935" s="1"/>
      <c r="C935" s="1"/>
      <c r="D935" s="1"/>
      <c r="E935" s="1"/>
      <c r="F935" s="1"/>
      <c r="G935" s="1"/>
      <c r="H935" s="1"/>
    </row>
    <row r="936" spans="1:8" ht="15" thickBot="1" x14ac:dyDescent="0.35">
      <c r="A936" s="1"/>
      <c r="B936" s="1"/>
      <c r="C936" s="1"/>
      <c r="D936" s="1"/>
      <c r="E936" s="1"/>
      <c r="F936" s="1"/>
      <c r="G936" s="1"/>
      <c r="H936" s="1"/>
    </row>
    <row r="937" spans="1:8" ht="15" thickBot="1" x14ac:dyDescent="0.35">
      <c r="A937" s="1"/>
      <c r="B937" s="1"/>
      <c r="C937" s="1"/>
      <c r="D937" s="1"/>
      <c r="E937" s="1"/>
      <c r="F937" s="1"/>
      <c r="G937" s="1"/>
      <c r="H937" s="1"/>
    </row>
    <row r="938" spans="1:8" ht="15" thickBot="1" x14ac:dyDescent="0.35">
      <c r="A938" s="1"/>
      <c r="B938" s="1"/>
      <c r="C938" s="1"/>
      <c r="D938" s="1"/>
      <c r="E938" s="1"/>
      <c r="F938" s="1"/>
      <c r="G938" s="1"/>
      <c r="H938" s="1"/>
    </row>
    <row r="939" spans="1:8" ht="15" thickBot="1" x14ac:dyDescent="0.35">
      <c r="A939" s="1"/>
      <c r="B939" s="1"/>
      <c r="C939" s="1"/>
      <c r="D939" s="1"/>
      <c r="E939" s="1"/>
      <c r="F939" s="1"/>
      <c r="G939" s="1"/>
      <c r="H939" s="1"/>
    </row>
    <row r="940" spans="1:8" ht="15" thickBot="1" x14ac:dyDescent="0.35">
      <c r="A940" s="1"/>
      <c r="B940" s="1"/>
      <c r="C940" s="1"/>
      <c r="D940" s="1"/>
      <c r="E940" s="1"/>
      <c r="F940" s="1"/>
      <c r="G940" s="1"/>
      <c r="H940" s="1"/>
    </row>
    <row r="941" spans="1:8" ht="15" thickBot="1" x14ac:dyDescent="0.35">
      <c r="A941" s="1"/>
      <c r="B941" s="1"/>
      <c r="C941" s="1"/>
      <c r="D941" s="1"/>
      <c r="E941" s="1"/>
      <c r="F941" s="1"/>
      <c r="G941" s="1"/>
      <c r="H941" s="1"/>
    </row>
    <row r="942" spans="1:8" ht="15" thickBot="1" x14ac:dyDescent="0.35">
      <c r="A942" s="1"/>
      <c r="B942" s="1"/>
      <c r="C942" s="1"/>
      <c r="D942" s="1"/>
      <c r="E942" s="1"/>
      <c r="F942" s="1"/>
      <c r="G942" s="1"/>
      <c r="H942" s="1"/>
    </row>
    <row r="943" spans="1:8" ht="15" thickBot="1" x14ac:dyDescent="0.35">
      <c r="A943" s="1"/>
      <c r="B943" s="1"/>
      <c r="C943" s="1"/>
      <c r="D943" s="1"/>
      <c r="E943" s="1"/>
      <c r="F943" s="1"/>
      <c r="G943" s="1"/>
      <c r="H943" s="1"/>
    </row>
    <row r="944" spans="1:8" ht="15" thickBot="1" x14ac:dyDescent="0.35">
      <c r="A944" s="1"/>
      <c r="B944" s="1"/>
      <c r="C944" s="1"/>
      <c r="D944" s="1"/>
      <c r="E944" s="1"/>
      <c r="F944" s="1"/>
      <c r="G944" s="1"/>
      <c r="H944" s="1"/>
    </row>
    <row r="945" spans="1:8" ht="15" thickBot="1" x14ac:dyDescent="0.35">
      <c r="A945" s="1"/>
      <c r="B945" s="1"/>
      <c r="C945" s="1"/>
      <c r="D945" s="1"/>
      <c r="E945" s="1"/>
      <c r="F945" s="1"/>
      <c r="G945" s="1"/>
      <c r="H945" s="1"/>
    </row>
    <row r="946" spans="1:8" ht="15" thickBot="1" x14ac:dyDescent="0.35">
      <c r="A946" s="1"/>
      <c r="B946" s="1"/>
      <c r="C946" s="1"/>
      <c r="D946" s="1"/>
      <c r="E946" s="1"/>
      <c r="F946" s="1"/>
      <c r="G946" s="1"/>
      <c r="H946" s="1"/>
    </row>
    <row r="947" spans="1:8" ht="15" thickBot="1" x14ac:dyDescent="0.35">
      <c r="A947" s="1"/>
      <c r="B947" s="1"/>
      <c r="C947" s="1"/>
      <c r="D947" s="1"/>
      <c r="E947" s="1"/>
      <c r="F947" s="1"/>
      <c r="G947" s="1"/>
      <c r="H947" s="1"/>
    </row>
    <row r="948" spans="1:8" ht="15" thickBot="1" x14ac:dyDescent="0.35">
      <c r="A948" s="1"/>
      <c r="B948" s="1"/>
      <c r="C948" s="1"/>
      <c r="D948" s="1"/>
      <c r="E948" s="1"/>
      <c r="F948" s="1"/>
      <c r="G948" s="1"/>
      <c r="H948" s="1"/>
    </row>
    <row r="949" spans="1:8" ht="15" thickBot="1" x14ac:dyDescent="0.35">
      <c r="A949" s="1"/>
      <c r="B949" s="1"/>
      <c r="C949" s="1"/>
      <c r="D949" s="1"/>
      <c r="E949" s="1"/>
      <c r="F949" s="1"/>
      <c r="G949" s="1"/>
      <c r="H949" s="1"/>
    </row>
    <row r="950" spans="1:8" ht="15" thickBot="1" x14ac:dyDescent="0.35">
      <c r="A950" s="1"/>
      <c r="B950" s="1"/>
      <c r="C950" s="1"/>
      <c r="D950" s="1"/>
      <c r="E950" s="1"/>
      <c r="F950" s="1"/>
      <c r="G950" s="1"/>
      <c r="H950" s="1"/>
    </row>
    <row r="951" spans="1:8" ht="15" thickBot="1" x14ac:dyDescent="0.35">
      <c r="A951" s="1"/>
      <c r="B951" s="1"/>
      <c r="C951" s="1"/>
      <c r="D951" s="1"/>
      <c r="E951" s="1"/>
      <c r="F951" s="1"/>
      <c r="G951" s="1"/>
      <c r="H951" s="1"/>
    </row>
    <row r="952" spans="1:8" ht="15" thickBot="1" x14ac:dyDescent="0.35">
      <c r="A952" s="1"/>
      <c r="B952" s="1"/>
      <c r="C952" s="1"/>
      <c r="D952" s="1"/>
      <c r="E952" s="1"/>
      <c r="F952" s="1"/>
      <c r="G952" s="1"/>
      <c r="H952" s="1"/>
    </row>
    <row r="953" spans="1:8" ht="15" thickBot="1" x14ac:dyDescent="0.35">
      <c r="A953" s="1"/>
      <c r="B953" s="1"/>
      <c r="C953" s="1"/>
      <c r="D953" s="1"/>
      <c r="E953" s="1"/>
      <c r="F953" s="1"/>
      <c r="G953" s="1"/>
      <c r="H953" s="1"/>
    </row>
    <row r="954" spans="1:8" ht="15" thickBot="1" x14ac:dyDescent="0.35">
      <c r="A954" s="1"/>
      <c r="B954" s="1"/>
      <c r="C954" s="1"/>
      <c r="D954" s="1"/>
      <c r="E954" s="1"/>
      <c r="F954" s="1"/>
      <c r="G954" s="1"/>
      <c r="H954" s="1"/>
    </row>
    <row r="955" spans="1:8" ht="15" thickBot="1" x14ac:dyDescent="0.35">
      <c r="A955" s="1"/>
      <c r="B955" s="1"/>
      <c r="C955" s="1"/>
      <c r="D955" s="1"/>
      <c r="E955" s="1"/>
      <c r="F955" s="1"/>
      <c r="G955" s="1"/>
      <c r="H955" s="1"/>
    </row>
    <row r="956" spans="1:8" ht="15" thickBot="1" x14ac:dyDescent="0.35">
      <c r="A956" s="1"/>
      <c r="B956" s="1"/>
      <c r="C956" s="1"/>
      <c r="D956" s="1"/>
      <c r="E956" s="1"/>
      <c r="F956" s="1"/>
      <c r="G956" s="1"/>
      <c r="H956" s="1"/>
    </row>
    <row r="957" spans="1:8" ht="15" thickBot="1" x14ac:dyDescent="0.35">
      <c r="A957" s="1"/>
      <c r="B957" s="1"/>
      <c r="C957" s="1"/>
      <c r="D957" s="1"/>
      <c r="E957" s="1"/>
      <c r="F957" s="1"/>
      <c r="G957" s="1"/>
      <c r="H957" s="1"/>
    </row>
    <row r="958" spans="1:8" ht="15" thickBot="1" x14ac:dyDescent="0.35">
      <c r="A958" s="1"/>
      <c r="B958" s="1"/>
      <c r="C958" s="1"/>
      <c r="D958" s="1"/>
      <c r="E958" s="1"/>
      <c r="F958" s="1"/>
      <c r="G958" s="1"/>
      <c r="H958" s="1"/>
    </row>
    <row r="959" spans="1:8" ht="15" thickBot="1" x14ac:dyDescent="0.35">
      <c r="A959" s="1"/>
      <c r="B959" s="1"/>
      <c r="C959" s="1"/>
      <c r="D959" s="1"/>
      <c r="E959" s="1"/>
      <c r="F959" s="1"/>
      <c r="G959" s="1"/>
      <c r="H959" s="1"/>
    </row>
    <row r="960" spans="1:8" ht="15" thickBot="1" x14ac:dyDescent="0.35">
      <c r="A960" s="1"/>
      <c r="B960" s="1"/>
      <c r="C960" s="1"/>
      <c r="D960" s="1"/>
      <c r="E960" s="1"/>
      <c r="F960" s="1"/>
      <c r="G960" s="1"/>
      <c r="H960" s="1"/>
    </row>
    <row r="961" spans="1:8" ht="15" thickBot="1" x14ac:dyDescent="0.35">
      <c r="A961" s="1"/>
      <c r="B961" s="1"/>
      <c r="C961" s="1"/>
      <c r="D961" s="1"/>
      <c r="E961" s="1"/>
      <c r="F961" s="1"/>
      <c r="G961" s="1"/>
      <c r="H961" s="1"/>
    </row>
    <row r="962" spans="1:8" ht="15" thickBot="1" x14ac:dyDescent="0.35">
      <c r="A962" s="1"/>
      <c r="B962" s="1"/>
      <c r="C962" s="1"/>
      <c r="D962" s="1"/>
      <c r="E962" s="1"/>
      <c r="F962" s="1"/>
      <c r="G962" s="1"/>
      <c r="H962" s="1"/>
    </row>
    <row r="963" spans="1:8" ht="15" thickBot="1" x14ac:dyDescent="0.35">
      <c r="A963" s="1"/>
      <c r="B963" s="1"/>
      <c r="C963" s="1"/>
      <c r="D963" s="1"/>
      <c r="E963" s="1"/>
      <c r="F963" s="1"/>
      <c r="G963" s="1"/>
      <c r="H963" s="1"/>
    </row>
    <row r="964" spans="1:8" ht="15" thickBot="1" x14ac:dyDescent="0.35">
      <c r="A964" s="1"/>
      <c r="B964" s="1"/>
      <c r="C964" s="1"/>
      <c r="D964" s="1"/>
      <c r="E964" s="1"/>
      <c r="F964" s="1"/>
      <c r="G964" s="1"/>
      <c r="H964" s="1"/>
    </row>
    <row r="965" spans="1:8" ht="15" thickBot="1" x14ac:dyDescent="0.35">
      <c r="A965" s="1"/>
      <c r="B965" s="1"/>
      <c r="C965" s="1"/>
      <c r="D965" s="1"/>
      <c r="E965" s="1"/>
      <c r="F965" s="1"/>
      <c r="G965" s="1"/>
      <c r="H965" s="1"/>
    </row>
    <row r="966" spans="1:8" ht="15" thickBot="1" x14ac:dyDescent="0.35">
      <c r="A966" s="1"/>
      <c r="B966" s="1"/>
      <c r="C966" s="1"/>
      <c r="D966" s="1"/>
      <c r="E966" s="1"/>
      <c r="F966" s="1"/>
      <c r="G966" s="1"/>
      <c r="H966" s="1"/>
    </row>
    <row r="967" spans="1:8" ht="15" thickBot="1" x14ac:dyDescent="0.35">
      <c r="A967" s="1"/>
      <c r="B967" s="1"/>
      <c r="C967" s="1"/>
      <c r="D967" s="1"/>
      <c r="E967" s="1"/>
      <c r="F967" s="1"/>
      <c r="G967" s="1"/>
      <c r="H967" s="1"/>
    </row>
    <row r="968" spans="1:8" ht="15" thickBot="1" x14ac:dyDescent="0.35">
      <c r="A968" s="1"/>
      <c r="B968" s="1"/>
      <c r="C968" s="1"/>
      <c r="D968" s="1"/>
      <c r="E968" s="1"/>
      <c r="F968" s="1"/>
      <c r="G968" s="1"/>
      <c r="H968" s="1"/>
    </row>
    <row r="969" spans="1:8" ht="15" thickBot="1" x14ac:dyDescent="0.35">
      <c r="A969" s="1"/>
      <c r="B969" s="1"/>
      <c r="C969" s="1"/>
      <c r="D969" s="1"/>
      <c r="E969" s="1"/>
      <c r="F969" s="1"/>
      <c r="G969" s="1"/>
      <c r="H969" s="1"/>
    </row>
    <row r="970" spans="1:8" ht="15" thickBot="1" x14ac:dyDescent="0.35">
      <c r="A970" s="1"/>
      <c r="B970" s="1"/>
      <c r="C970" s="1"/>
      <c r="D970" s="1"/>
      <c r="E970" s="1"/>
      <c r="F970" s="1"/>
      <c r="G970" s="1"/>
      <c r="H970" s="1"/>
    </row>
    <row r="971" spans="1:8" ht="15" thickBot="1" x14ac:dyDescent="0.35">
      <c r="A971" s="1"/>
      <c r="B971" s="1"/>
      <c r="C971" s="1"/>
      <c r="D971" s="1"/>
      <c r="E971" s="1"/>
      <c r="F971" s="1"/>
      <c r="G971" s="1"/>
      <c r="H971" s="1"/>
    </row>
    <row r="972" spans="1:8" ht="15" thickBot="1" x14ac:dyDescent="0.35">
      <c r="A972" s="1"/>
      <c r="B972" s="1"/>
      <c r="C972" s="1"/>
      <c r="D972" s="1"/>
      <c r="E972" s="1"/>
      <c r="F972" s="1"/>
      <c r="G972" s="1"/>
      <c r="H972" s="1"/>
    </row>
    <row r="973" spans="1:8" ht="15" thickBot="1" x14ac:dyDescent="0.35">
      <c r="A973" s="1"/>
      <c r="B973" s="1"/>
      <c r="C973" s="1"/>
      <c r="D973" s="1"/>
      <c r="E973" s="1"/>
      <c r="F973" s="1"/>
      <c r="G973" s="1"/>
      <c r="H973" s="1"/>
    </row>
    <row r="974" spans="1:8" ht="15" thickBot="1" x14ac:dyDescent="0.35">
      <c r="A974" s="1"/>
      <c r="B974" s="1"/>
      <c r="C974" s="1"/>
      <c r="D974" s="1"/>
      <c r="E974" s="1"/>
      <c r="F974" s="1"/>
      <c r="G974" s="1"/>
      <c r="H974" s="1"/>
    </row>
    <row r="975" spans="1:8" ht="15" thickBot="1" x14ac:dyDescent="0.35">
      <c r="A975" s="1"/>
      <c r="B975" s="1"/>
      <c r="C975" s="1"/>
      <c r="D975" s="1"/>
      <c r="E975" s="1"/>
      <c r="F975" s="1"/>
      <c r="G975" s="1"/>
      <c r="H975" s="1"/>
    </row>
    <row r="976" spans="1:8" ht="15" thickBot="1" x14ac:dyDescent="0.35">
      <c r="A976" s="1"/>
      <c r="B976" s="1"/>
      <c r="C976" s="1"/>
      <c r="D976" s="1"/>
      <c r="E976" s="1"/>
      <c r="F976" s="1"/>
      <c r="G976" s="1"/>
      <c r="H976" s="1"/>
    </row>
    <row r="977" spans="1:8" ht="15" thickBot="1" x14ac:dyDescent="0.35">
      <c r="A977" s="1"/>
      <c r="B977" s="1"/>
      <c r="C977" s="1"/>
      <c r="D977" s="1"/>
      <c r="E977" s="1"/>
      <c r="F977" s="1"/>
      <c r="G977" s="1"/>
      <c r="H977" s="1"/>
    </row>
    <row r="978" spans="1:8" ht="15" thickBot="1" x14ac:dyDescent="0.35">
      <c r="A978" s="1"/>
      <c r="B978" s="1"/>
      <c r="C978" s="1"/>
      <c r="D978" s="1"/>
      <c r="E978" s="1"/>
      <c r="F978" s="1"/>
      <c r="G978" s="1"/>
      <c r="H978" s="1"/>
    </row>
    <row r="979" spans="1:8" ht="15" thickBot="1" x14ac:dyDescent="0.35">
      <c r="A979" s="1"/>
      <c r="B979" s="1"/>
      <c r="C979" s="1"/>
      <c r="D979" s="1"/>
      <c r="E979" s="1"/>
      <c r="F979" s="1"/>
      <c r="G979" s="1"/>
      <c r="H979" s="1"/>
    </row>
    <row r="980" spans="1:8" ht="15" thickBot="1" x14ac:dyDescent="0.35">
      <c r="A980" s="1"/>
      <c r="B980" s="1"/>
      <c r="C980" s="1"/>
      <c r="D980" s="1"/>
      <c r="E980" s="1"/>
      <c r="F980" s="1"/>
      <c r="G980" s="1"/>
      <c r="H980" s="1"/>
    </row>
    <row r="981" spans="1:8" ht="15" thickBot="1" x14ac:dyDescent="0.35">
      <c r="A981" s="1"/>
      <c r="B981" s="1"/>
      <c r="C981" s="1"/>
      <c r="D981" s="1"/>
      <c r="E981" s="1"/>
      <c r="F981" s="1"/>
      <c r="G981" s="1"/>
      <c r="H981" s="1"/>
    </row>
    <row r="982" spans="1:8" ht="15" thickBot="1" x14ac:dyDescent="0.35">
      <c r="A982" s="1"/>
      <c r="B982" s="1"/>
      <c r="C982" s="1"/>
      <c r="D982" s="1"/>
      <c r="E982" s="1"/>
      <c r="F982" s="1"/>
      <c r="G982" s="1"/>
      <c r="H982" s="1"/>
    </row>
    <row r="983" spans="1:8" ht="15" thickBot="1" x14ac:dyDescent="0.35">
      <c r="A983" s="1"/>
      <c r="B983" s="1"/>
      <c r="C983" s="1"/>
      <c r="D983" s="1"/>
      <c r="E983" s="1"/>
      <c r="F983" s="1"/>
      <c r="G983" s="1"/>
      <c r="H983" s="1"/>
    </row>
    <row r="984" spans="1:8" ht="15" thickBot="1" x14ac:dyDescent="0.35">
      <c r="A984" s="1"/>
      <c r="B984" s="1"/>
      <c r="C984" s="1"/>
      <c r="D984" s="1"/>
      <c r="E984" s="1"/>
      <c r="F984" s="1"/>
      <c r="G984" s="1"/>
      <c r="H984" s="1"/>
    </row>
    <row r="985" spans="1:8" ht="15" thickBot="1" x14ac:dyDescent="0.35">
      <c r="A985" s="1"/>
      <c r="B985" s="1"/>
      <c r="C985" s="1"/>
      <c r="D985" s="1"/>
      <c r="E985" s="1"/>
      <c r="F985" s="1"/>
      <c r="G985" s="1"/>
      <c r="H985" s="1"/>
    </row>
    <row r="986" spans="1:8" ht="15" thickBot="1" x14ac:dyDescent="0.35">
      <c r="A986" s="1"/>
      <c r="B986" s="1"/>
      <c r="C986" s="1"/>
      <c r="D986" s="1"/>
      <c r="E986" s="1"/>
      <c r="F986" s="1"/>
      <c r="G986" s="1"/>
      <c r="H986" s="1"/>
    </row>
    <row r="987" spans="1:8" ht="15" thickBot="1" x14ac:dyDescent="0.35">
      <c r="A987" s="1"/>
      <c r="B987" s="1"/>
      <c r="C987" s="1"/>
      <c r="D987" s="1"/>
      <c r="E987" s="1"/>
      <c r="F987" s="1"/>
      <c r="G987" s="1"/>
      <c r="H987" s="1"/>
    </row>
    <row r="988" spans="1:8" ht="15" thickBot="1" x14ac:dyDescent="0.35">
      <c r="A988" s="1"/>
      <c r="B988" s="1"/>
      <c r="C988" s="1"/>
      <c r="D988" s="1"/>
      <c r="E988" s="1"/>
      <c r="F988" s="1"/>
      <c r="G988" s="1"/>
      <c r="H988" s="1"/>
    </row>
    <row r="989" spans="1:8" ht="15" thickBot="1" x14ac:dyDescent="0.35">
      <c r="A989" s="1"/>
      <c r="B989" s="1"/>
      <c r="C989" s="1"/>
      <c r="D989" s="1"/>
      <c r="E989" s="1"/>
      <c r="F989" s="1"/>
      <c r="G989" s="1"/>
      <c r="H989" s="1"/>
    </row>
    <row r="990" spans="1:8" ht="15" thickBot="1" x14ac:dyDescent="0.35">
      <c r="A990" s="1"/>
      <c r="B990" s="1"/>
      <c r="C990" s="1"/>
      <c r="D990" s="1"/>
      <c r="E990" s="1"/>
      <c r="F990" s="1"/>
      <c r="G990" s="1"/>
      <c r="H990" s="1"/>
    </row>
    <row r="991" spans="1:8" ht="15" thickBot="1" x14ac:dyDescent="0.35">
      <c r="A991" s="1"/>
      <c r="B991" s="1"/>
      <c r="C991" s="1"/>
      <c r="D991" s="1"/>
      <c r="E991" s="1"/>
      <c r="F991" s="1"/>
      <c r="G991" s="1"/>
      <c r="H991" s="1"/>
    </row>
    <row r="992" spans="1:8" ht="15" thickBot="1" x14ac:dyDescent="0.35">
      <c r="A992" s="1"/>
      <c r="B992" s="1"/>
      <c r="C992" s="1"/>
      <c r="D992" s="1"/>
      <c r="E992" s="1"/>
      <c r="F992" s="1"/>
      <c r="G992" s="1"/>
      <c r="H992" s="1"/>
    </row>
    <row r="993" spans="1:8" ht="15" thickBot="1" x14ac:dyDescent="0.35">
      <c r="A993" s="1"/>
      <c r="B993" s="1"/>
      <c r="C993" s="1"/>
      <c r="D993" s="1"/>
      <c r="E993" s="1"/>
      <c r="F993" s="1"/>
      <c r="G993" s="1"/>
      <c r="H993" s="1"/>
    </row>
    <row r="994" spans="1:8" ht="15" thickBot="1" x14ac:dyDescent="0.35">
      <c r="A994" s="1"/>
      <c r="B994" s="1"/>
      <c r="C994" s="1"/>
      <c r="D994" s="1"/>
      <c r="E994" s="1"/>
      <c r="F994" s="1"/>
      <c r="G994" s="1"/>
      <c r="H994" s="1"/>
    </row>
    <row r="995" spans="1:8" ht="15" thickBot="1" x14ac:dyDescent="0.35">
      <c r="A995" s="1"/>
      <c r="B995" s="1"/>
      <c r="C995" s="1"/>
      <c r="D995" s="1"/>
      <c r="E995" s="1"/>
      <c r="F995" s="1"/>
      <c r="G995" s="1"/>
      <c r="H995" s="1"/>
    </row>
    <row r="996" spans="1:8" ht="15" thickBot="1" x14ac:dyDescent="0.35">
      <c r="A996" s="1"/>
      <c r="B996" s="1"/>
      <c r="C996" s="1"/>
      <c r="D996" s="1"/>
      <c r="E996" s="1"/>
      <c r="F996" s="1"/>
      <c r="G996" s="1"/>
      <c r="H996" s="1"/>
    </row>
    <row r="997" spans="1:8" ht="15" thickBot="1" x14ac:dyDescent="0.35">
      <c r="A997" s="1"/>
      <c r="B997" s="1"/>
      <c r="C997" s="1"/>
      <c r="D997" s="1"/>
      <c r="E997" s="1"/>
      <c r="F997" s="1"/>
      <c r="G997" s="1"/>
      <c r="H997" s="1"/>
    </row>
    <row r="998" spans="1:8" ht="15" thickBot="1" x14ac:dyDescent="0.35">
      <c r="A998" s="1"/>
      <c r="B998" s="1"/>
      <c r="C998" s="1"/>
      <c r="D998" s="1"/>
      <c r="E998" s="1"/>
      <c r="F998" s="1"/>
      <c r="G998" s="1"/>
      <c r="H998" s="1"/>
    </row>
    <row r="999" spans="1:8" ht="15" thickBot="1" x14ac:dyDescent="0.35">
      <c r="A999" s="1"/>
      <c r="B999" s="1"/>
      <c r="C999" s="1"/>
      <c r="D999" s="1"/>
      <c r="E999" s="1"/>
      <c r="F999" s="1"/>
      <c r="G999" s="1"/>
      <c r="H999" s="1"/>
    </row>
    <row r="1000" spans="1:8" ht="15" thickBot="1" x14ac:dyDescent="0.35">
      <c r="A1000" s="1"/>
      <c r="B1000" s="1"/>
      <c r="C1000" s="1"/>
      <c r="D1000" s="1"/>
      <c r="E1000" s="1"/>
      <c r="F1000" s="1"/>
      <c r="G1000" s="1"/>
      <c r="H1000" s="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D2478-07B7-405A-BDEC-FB752E371FE7}">
  <dimension ref="A2:B503"/>
  <sheetViews>
    <sheetView workbookViewId="0"/>
  </sheetViews>
  <sheetFormatPr defaultRowHeight="14.4" x14ac:dyDescent="0.3"/>
  <cols>
    <col min="1" max="1" width="10.5546875" bestFit="1" customWidth="1"/>
    <col min="2" max="2" width="14.88671875" bestFit="1" customWidth="1"/>
  </cols>
  <sheetData>
    <row r="2" spans="1:2" x14ac:dyDescent="0.3">
      <c r="A2" s="4" t="s">
        <v>501</v>
      </c>
      <c r="B2" t="s">
        <v>524</v>
      </c>
    </row>
    <row r="3" spans="1:2" x14ac:dyDescent="0.3">
      <c r="A3" s="5">
        <v>45658</v>
      </c>
      <c r="B3">
        <v>5</v>
      </c>
    </row>
    <row r="4" spans="1:2" x14ac:dyDescent="0.3">
      <c r="A4" s="5">
        <v>45659</v>
      </c>
      <c r="B4">
        <v>4</v>
      </c>
    </row>
    <row r="5" spans="1:2" x14ac:dyDescent="0.3">
      <c r="A5" s="5">
        <v>45660</v>
      </c>
      <c r="B5">
        <v>5.5</v>
      </c>
    </row>
    <row r="6" spans="1:2" x14ac:dyDescent="0.3">
      <c r="A6" s="5">
        <v>45661</v>
      </c>
      <c r="B6">
        <v>20</v>
      </c>
    </row>
    <row r="7" spans="1:2" x14ac:dyDescent="0.3">
      <c r="A7" s="5">
        <v>45662</v>
      </c>
      <c r="B7">
        <v>2.5</v>
      </c>
    </row>
    <row r="8" spans="1:2" x14ac:dyDescent="0.3">
      <c r="A8" s="5">
        <v>45663</v>
      </c>
      <c r="B8">
        <v>18</v>
      </c>
    </row>
    <row r="9" spans="1:2" x14ac:dyDescent="0.3">
      <c r="A9" s="5">
        <v>45664</v>
      </c>
      <c r="B9">
        <v>1</v>
      </c>
    </row>
    <row r="10" spans="1:2" x14ac:dyDescent="0.3">
      <c r="A10" s="5">
        <v>45665</v>
      </c>
      <c r="B10">
        <v>6</v>
      </c>
    </row>
    <row r="11" spans="1:2" x14ac:dyDescent="0.3">
      <c r="A11" s="5">
        <v>45666</v>
      </c>
      <c r="B11">
        <v>5</v>
      </c>
    </row>
    <row r="12" spans="1:2" x14ac:dyDescent="0.3">
      <c r="A12" s="5">
        <v>45667</v>
      </c>
      <c r="B12">
        <v>4</v>
      </c>
    </row>
    <row r="13" spans="1:2" x14ac:dyDescent="0.3">
      <c r="A13" s="5">
        <v>45668</v>
      </c>
      <c r="B13">
        <v>5.5</v>
      </c>
    </row>
    <row r="14" spans="1:2" x14ac:dyDescent="0.3">
      <c r="A14" s="5">
        <v>45669</v>
      </c>
      <c r="B14">
        <v>20</v>
      </c>
    </row>
    <row r="15" spans="1:2" x14ac:dyDescent="0.3">
      <c r="A15" s="5">
        <v>45670</v>
      </c>
      <c r="B15">
        <v>2.5</v>
      </c>
    </row>
    <row r="16" spans="1:2" x14ac:dyDescent="0.3">
      <c r="A16" s="5">
        <v>45671</v>
      </c>
      <c r="B16">
        <v>18</v>
      </c>
    </row>
    <row r="17" spans="1:2" x14ac:dyDescent="0.3">
      <c r="A17" s="5">
        <v>45672</v>
      </c>
      <c r="B17">
        <v>1</v>
      </c>
    </row>
    <row r="18" spans="1:2" x14ac:dyDescent="0.3">
      <c r="A18" s="5">
        <v>45673</v>
      </c>
      <c r="B18">
        <v>6</v>
      </c>
    </row>
    <row r="19" spans="1:2" x14ac:dyDescent="0.3">
      <c r="A19" s="5">
        <v>45674</v>
      </c>
      <c r="B19">
        <v>5</v>
      </c>
    </row>
    <row r="20" spans="1:2" x14ac:dyDescent="0.3">
      <c r="A20" s="5">
        <v>45675</v>
      </c>
      <c r="B20">
        <v>4</v>
      </c>
    </row>
    <row r="21" spans="1:2" x14ac:dyDescent="0.3">
      <c r="A21" s="5">
        <v>45676</v>
      </c>
      <c r="B21">
        <v>5.5</v>
      </c>
    </row>
    <row r="22" spans="1:2" x14ac:dyDescent="0.3">
      <c r="A22" s="5">
        <v>45677</v>
      </c>
      <c r="B22">
        <v>20</v>
      </c>
    </row>
    <row r="23" spans="1:2" x14ac:dyDescent="0.3">
      <c r="A23" s="5">
        <v>45678</v>
      </c>
      <c r="B23">
        <v>2.5</v>
      </c>
    </row>
    <row r="24" spans="1:2" x14ac:dyDescent="0.3">
      <c r="A24" s="5">
        <v>45679</v>
      </c>
      <c r="B24">
        <v>18</v>
      </c>
    </row>
    <row r="25" spans="1:2" x14ac:dyDescent="0.3">
      <c r="A25" s="5">
        <v>45680</v>
      </c>
      <c r="B25">
        <v>1</v>
      </c>
    </row>
    <row r="26" spans="1:2" x14ac:dyDescent="0.3">
      <c r="A26" s="5">
        <v>45681</v>
      </c>
      <c r="B26">
        <v>6</v>
      </c>
    </row>
    <row r="27" spans="1:2" x14ac:dyDescent="0.3">
      <c r="A27" s="5">
        <v>45682</v>
      </c>
      <c r="B27">
        <v>5</v>
      </c>
    </row>
    <row r="28" spans="1:2" x14ac:dyDescent="0.3">
      <c r="A28" s="5">
        <v>45683</v>
      </c>
      <c r="B28">
        <v>4</v>
      </c>
    </row>
    <row r="29" spans="1:2" x14ac:dyDescent="0.3">
      <c r="A29" s="5">
        <v>45684</v>
      </c>
      <c r="B29">
        <v>5.5</v>
      </c>
    </row>
    <row r="30" spans="1:2" x14ac:dyDescent="0.3">
      <c r="A30" s="5">
        <v>45685</v>
      </c>
      <c r="B30">
        <v>20</v>
      </c>
    </row>
    <row r="31" spans="1:2" x14ac:dyDescent="0.3">
      <c r="A31" s="5">
        <v>45686</v>
      </c>
      <c r="B31">
        <v>2.5</v>
      </c>
    </row>
    <row r="32" spans="1:2" x14ac:dyDescent="0.3">
      <c r="A32" s="5">
        <v>45687</v>
      </c>
      <c r="B32">
        <v>18</v>
      </c>
    </row>
    <row r="33" spans="1:2" x14ac:dyDescent="0.3">
      <c r="A33" s="5">
        <v>45688</v>
      </c>
      <c r="B33">
        <v>1</v>
      </c>
    </row>
    <row r="34" spans="1:2" x14ac:dyDescent="0.3">
      <c r="A34" s="5">
        <v>45689</v>
      </c>
      <c r="B34">
        <v>6</v>
      </c>
    </row>
    <row r="35" spans="1:2" x14ac:dyDescent="0.3">
      <c r="A35" s="5">
        <v>45690</v>
      </c>
      <c r="B35">
        <v>5</v>
      </c>
    </row>
    <row r="36" spans="1:2" x14ac:dyDescent="0.3">
      <c r="A36" s="5">
        <v>45691</v>
      </c>
      <c r="B36">
        <v>4</v>
      </c>
    </row>
    <row r="37" spans="1:2" x14ac:dyDescent="0.3">
      <c r="A37" s="5">
        <v>45692</v>
      </c>
      <c r="B37">
        <v>5.5</v>
      </c>
    </row>
    <row r="38" spans="1:2" x14ac:dyDescent="0.3">
      <c r="A38" s="5">
        <v>45693</v>
      </c>
      <c r="B38">
        <v>20</v>
      </c>
    </row>
    <row r="39" spans="1:2" x14ac:dyDescent="0.3">
      <c r="A39" s="5">
        <v>45694</v>
      </c>
      <c r="B39">
        <v>2.5</v>
      </c>
    </row>
    <row r="40" spans="1:2" x14ac:dyDescent="0.3">
      <c r="A40" s="5">
        <v>45695</v>
      </c>
      <c r="B40">
        <v>18</v>
      </c>
    </row>
    <row r="41" spans="1:2" x14ac:dyDescent="0.3">
      <c r="A41" s="5">
        <v>45696</v>
      </c>
      <c r="B41">
        <v>1</v>
      </c>
    </row>
    <row r="42" spans="1:2" x14ac:dyDescent="0.3">
      <c r="A42" s="5">
        <v>45697</v>
      </c>
      <c r="B42">
        <v>6</v>
      </c>
    </row>
    <row r="43" spans="1:2" x14ac:dyDescent="0.3">
      <c r="A43" s="5">
        <v>45698</v>
      </c>
      <c r="B43">
        <v>5</v>
      </c>
    </row>
    <row r="44" spans="1:2" x14ac:dyDescent="0.3">
      <c r="A44" s="5">
        <v>45699</v>
      </c>
      <c r="B44">
        <v>4</v>
      </c>
    </row>
    <row r="45" spans="1:2" x14ac:dyDescent="0.3">
      <c r="A45" s="5">
        <v>45700</v>
      </c>
      <c r="B45">
        <v>5.5</v>
      </c>
    </row>
    <row r="46" spans="1:2" x14ac:dyDescent="0.3">
      <c r="A46" s="5">
        <v>45701</v>
      </c>
      <c r="B46">
        <v>20</v>
      </c>
    </row>
    <row r="47" spans="1:2" x14ac:dyDescent="0.3">
      <c r="A47" s="5">
        <v>45702</v>
      </c>
      <c r="B47">
        <v>2.5</v>
      </c>
    </row>
    <row r="48" spans="1:2" x14ac:dyDescent="0.3">
      <c r="A48" s="5">
        <v>45703</v>
      </c>
      <c r="B48">
        <v>18</v>
      </c>
    </row>
    <row r="49" spans="1:2" x14ac:dyDescent="0.3">
      <c r="A49" s="5">
        <v>45704</v>
      </c>
      <c r="B49">
        <v>1</v>
      </c>
    </row>
    <row r="50" spans="1:2" x14ac:dyDescent="0.3">
      <c r="A50" s="5">
        <v>45705</v>
      </c>
      <c r="B50">
        <v>6</v>
      </c>
    </row>
    <row r="51" spans="1:2" x14ac:dyDescent="0.3">
      <c r="A51" s="5">
        <v>45706</v>
      </c>
      <c r="B51">
        <v>5</v>
      </c>
    </row>
    <row r="52" spans="1:2" x14ac:dyDescent="0.3">
      <c r="A52" s="5">
        <v>45707</v>
      </c>
      <c r="B52">
        <v>4</v>
      </c>
    </row>
    <row r="53" spans="1:2" x14ac:dyDescent="0.3">
      <c r="A53" s="5">
        <v>45708</v>
      </c>
      <c r="B53">
        <v>5.5</v>
      </c>
    </row>
    <row r="54" spans="1:2" x14ac:dyDescent="0.3">
      <c r="A54" s="5">
        <v>45709</v>
      </c>
      <c r="B54">
        <v>20</v>
      </c>
    </row>
    <row r="55" spans="1:2" x14ac:dyDescent="0.3">
      <c r="A55" s="5">
        <v>45710</v>
      </c>
      <c r="B55">
        <v>2.5</v>
      </c>
    </row>
    <row r="56" spans="1:2" x14ac:dyDescent="0.3">
      <c r="A56" s="5">
        <v>45711</v>
      </c>
      <c r="B56">
        <v>18</v>
      </c>
    </row>
    <row r="57" spans="1:2" x14ac:dyDescent="0.3">
      <c r="A57" s="5">
        <v>45712</v>
      </c>
      <c r="B57">
        <v>1</v>
      </c>
    </row>
    <row r="58" spans="1:2" x14ac:dyDescent="0.3">
      <c r="A58" s="5">
        <v>45713</v>
      </c>
      <c r="B58">
        <v>6</v>
      </c>
    </row>
    <row r="59" spans="1:2" x14ac:dyDescent="0.3">
      <c r="A59" s="5">
        <v>45714</v>
      </c>
      <c r="B59">
        <v>5</v>
      </c>
    </row>
    <row r="60" spans="1:2" x14ac:dyDescent="0.3">
      <c r="A60" s="5">
        <v>45715</v>
      </c>
      <c r="B60">
        <v>4</v>
      </c>
    </row>
    <row r="61" spans="1:2" x14ac:dyDescent="0.3">
      <c r="A61" s="5">
        <v>45716</v>
      </c>
      <c r="B61">
        <v>5.5</v>
      </c>
    </row>
    <row r="62" spans="1:2" x14ac:dyDescent="0.3">
      <c r="A62" s="5">
        <v>45717</v>
      </c>
      <c r="B62">
        <v>20</v>
      </c>
    </row>
    <row r="63" spans="1:2" x14ac:dyDescent="0.3">
      <c r="A63" s="5">
        <v>45718</v>
      </c>
      <c r="B63">
        <v>2.5</v>
      </c>
    </row>
    <row r="64" spans="1:2" x14ac:dyDescent="0.3">
      <c r="A64" s="5">
        <v>45719</v>
      </c>
      <c r="B64">
        <v>18</v>
      </c>
    </row>
    <row r="65" spans="1:2" x14ac:dyDescent="0.3">
      <c r="A65" s="5">
        <v>45720</v>
      </c>
      <c r="B65">
        <v>1</v>
      </c>
    </row>
    <row r="66" spans="1:2" x14ac:dyDescent="0.3">
      <c r="A66" s="5">
        <v>45721</v>
      </c>
      <c r="B66">
        <v>6</v>
      </c>
    </row>
    <row r="67" spans="1:2" x14ac:dyDescent="0.3">
      <c r="A67" s="5">
        <v>45722</v>
      </c>
      <c r="B67">
        <v>5</v>
      </c>
    </row>
    <row r="68" spans="1:2" x14ac:dyDescent="0.3">
      <c r="A68" s="5">
        <v>45723</v>
      </c>
      <c r="B68">
        <v>4</v>
      </c>
    </row>
    <row r="69" spans="1:2" x14ac:dyDescent="0.3">
      <c r="A69" s="5">
        <v>45724</v>
      </c>
      <c r="B69">
        <v>5.5</v>
      </c>
    </row>
    <row r="70" spans="1:2" x14ac:dyDescent="0.3">
      <c r="A70" s="5">
        <v>45725</v>
      </c>
      <c r="B70">
        <v>20</v>
      </c>
    </row>
    <row r="71" spans="1:2" x14ac:dyDescent="0.3">
      <c r="A71" s="5">
        <v>45726</v>
      </c>
      <c r="B71">
        <v>2.5</v>
      </c>
    </row>
    <row r="72" spans="1:2" x14ac:dyDescent="0.3">
      <c r="A72" s="5">
        <v>45727</v>
      </c>
      <c r="B72">
        <v>18</v>
      </c>
    </row>
    <row r="73" spans="1:2" x14ac:dyDescent="0.3">
      <c r="A73" s="5">
        <v>45728</v>
      </c>
      <c r="B73">
        <v>1</v>
      </c>
    </row>
    <row r="74" spans="1:2" x14ac:dyDescent="0.3">
      <c r="A74" s="5">
        <v>45729</v>
      </c>
      <c r="B74">
        <v>6</v>
      </c>
    </row>
    <row r="75" spans="1:2" x14ac:dyDescent="0.3">
      <c r="A75" s="5">
        <v>45730</v>
      </c>
      <c r="B75">
        <v>5</v>
      </c>
    </row>
    <row r="76" spans="1:2" x14ac:dyDescent="0.3">
      <c r="A76" s="5">
        <v>45731</v>
      </c>
      <c r="B76">
        <v>4</v>
      </c>
    </row>
    <row r="77" spans="1:2" x14ac:dyDescent="0.3">
      <c r="A77" s="5">
        <v>45732</v>
      </c>
      <c r="B77">
        <v>5.5</v>
      </c>
    </row>
    <row r="78" spans="1:2" x14ac:dyDescent="0.3">
      <c r="A78" s="5">
        <v>45733</v>
      </c>
      <c r="B78">
        <v>20</v>
      </c>
    </row>
    <row r="79" spans="1:2" x14ac:dyDescent="0.3">
      <c r="A79" s="5">
        <v>45734</v>
      </c>
      <c r="B79">
        <v>2.5</v>
      </c>
    </row>
    <row r="80" spans="1:2" x14ac:dyDescent="0.3">
      <c r="A80" s="5">
        <v>45735</v>
      </c>
      <c r="B80">
        <v>18</v>
      </c>
    </row>
    <row r="81" spans="1:2" x14ac:dyDescent="0.3">
      <c r="A81" s="5">
        <v>45736</v>
      </c>
      <c r="B81">
        <v>1</v>
      </c>
    </row>
    <row r="82" spans="1:2" x14ac:dyDescent="0.3">
      <c r="A82" s="5">
        <v>45737</v>
      </c>
      <c r="B82">
        <v>6</v>
      </c>
    </row>
    <row r="83" spans="1:2" x14ac:dyDescent="0.3">
      <c r="A83" s="5">
        <v>45738</v>
      </c>
      <c r="B83">
        <v>5</v>
      </c>
    </row>
    <row r="84" spans="1:2" x14ac:dyDescent="0.3">
      <c r="A84" s="5">
        <v>45739</v>
      </c>
      <c r="B84">
        <v>4</v>
      </c>
    </row>
    <row r="85" spans="1:2" x14ac:dyDescent="0.3">
      <c r="A85" s="5">
        <v>45740</v>
      </c>
      <c r="B85">
        <v>5.5</v>
      </c>
    </row>
    <row r="86" spans="1:2" x14ac:dyDescent="0.3">
      <c r="A86" s="5">
        <v>45741</v>
      </c>
      <c r="B86">
        <v>20</v>
      </c>
    </row>
    <row r="87" spans="1:2" x14ac:dyDescent="0.3">
      <c r="A87" s="5">
        <v>45742</v>
      </c>
      <c r="B87">
        <v>2.5</v>
      </c>
    </row>
    <row r="88" spans="1:2" x14ac:dyDescent="0.3">
      <c r="A88" s="5">
        <v>45743</v>
      </c>
      <c r="B88">
        <v>18</v>
      </c>
    </row>
    <row r="89" spans="1:2" x14ac:dyDescent="0.3">
      <c r="A89" s="5">
        <v>45744</v>
      </c>
      <c r="B89">
        <v>1</v>
      </c>
    </row>
    <row r="90" spans="1:2" x14ac:dyDescent="0.3">
      <c r="A90" s="5">
        <v>45745</v>
      </c>
      <c r="B90">
        <v>6</v>
      </c>
    </row>
    <row r="91" spans="1:2" x14ac:dyDescent="0.3">
      <c r="A91" s="5">
        <v>45746</v>
      </c>
      <c r="B91">
        <v>5</v>
      </c>
    </row>
    <row r="92" spans="1:2" x14ac:dyDescent="0.3">
      <c r="A92" s="5">
        <v>45747</v>
      </c>
      <c r="B92">
        <v>4</v>
      </c>
    </row>
    <row r="93" spans="1:2" x14ac:dyDescent="0.3">
      <c r="A93" s="5">
        <v>45748</v>
      </c>
      <c r="B93">
        <v>5.5</v>
      </c>
    </row>
    <row r="94" spans="1:2" x14ac:dyDescent="0.3">
      <c r="A94" s="5">
        <v>45749</v>
      </c>
      <c r="B94">
        <v>20</v>
      </c>
    </row>
    <row r="95" spans="1:2" x14ac:dyDescent="0.3">
      <c r="A95" s="5">
        <v>45750</v>
      </c>
      <c r="B95">
        <v>2.5</v>
      </c>
    </row>
    <row r="96" spans="1:2" x14ac:dyDescent="0.3">
      <c r="A96" s="5">
        <v>45751</v>
      </c>
      <c r="B96">
        <v>18</v>
      </c>
    </row>
    <row r="97" spans="1:2" x14ac:dyDescent="0.3">
      <c r="A97" s="5">
        <v>45752</v>
      </c>
      <c r="B97">
        <v>1</v>
      </c>
    </row>
    <row r="98" spans="1:2" x14ac:dyDescent="0.3">
      <c r="A98" s="5">
        <v>45753</v>
      </c>
      <c r="B98">
        <v>6</v>
      </c>
    </row>
    <row r="99" spans="1:2" x14ac:dyDescent="0.3">
      <c r="A99" s="5">
        <v>45754</v>
      </c>
      <c r="B99">
        <v>5</v>
      </c>
    </row>
    <row r="100" spans="1:2" x14ac:dyDescent="0.3">
      <c r="A100" s="5">
        <v>45755</v>
      </c>
      <c r="B100">
        <v>4</v>
      </c>
    </row>
    <row r="101" spans="1:2" x14ac:dyDescent="0.3">
      <c r="A101" s="5">
        <v>45756</v>
      </c>
      <c r="B101">
        <v>5.5</v>
      </c>
    </row>
    <row r="102" spans="1:2" x14ac:dyDescent="0.3">
      <c r="A102" s="5">
        <v>45757</v>
      </c>
      <c r="B102">
        <v>20</v>
      </c>
    </row>
    <row r="103" spans="1:2" x14ac:dyDescent="0.3">
      <c r="A103" s="5">
        <v>45758</v>
      </c>
      <c r="B103">
        <v>2.5</v>
      </c>
    </row>
    <row r="104" spans="1:2" x14ac:dyDescent="0.3">
      <c r="A104" s="5">
        <v>45759</v>
      </c>
      <c r="B104">
        <v>18</v>
      </c>
    </row>
    <row r="105" spans="1:2" x14ac:dyDescent="0.3">
      <c r="A105" s="5">
        <v>45760</v>
      </c>
      <c r="B105">
        <v>1</v>
      </c>
    </row>
    <row r="106" spans="1:2" x14ac:dyDescent="0.3">
      <c r="A106" s="5">
        <v>45761</v>
      </c>
      <c r="B106">
        <v>6</v>
      </c>
    </row>
    <row r="107" spans="1:2" x14ac:dyDescent="0.3">
      <c r="A107" s="5">
        <v>45762</v>
      </c>
      <c r="B107">
        <v>5</v>
      </c>
    </row>
    <row r="108" spans="1:2" x14ac:dyDescent="0.3">
      <c r="A108" s="5">
        <v>45763</v>
      </c>
      <c r="B108">
        <v>4</v>
      </c>
    </row>
    <row r="109" spans="1:2" x14ac:dyDescent="0.3">
      <c r="A109" s="5">
        <v>45764</v>
      </c>
      <c r="B109">
        <v>5.5</v>
      </c>
    </row>
    <row r="110" spans="1:2" x14ac:dyDescent="0.3">
      <c r="A110" s="5">
        <v>45765</v>
      </c>
      <c r="B110">
        <v>20</v>
      </c>
    </row>
    <row r="111" spans="1:2" x14ac:dyDescent="0.3">
      <c r="A111" s="5">
        <v>45766</v>
      </c>
      <c r="B111">
        <v>2.5</v>
      </c>
    </row>
    <row r="112" spans="1:2" x14ac:dyDescent="0.3">
      <c r="A112" s="5">
        <v>45767</v>
      </c>
      <c r="B112">
        <v>18</v>
      </c>
    </row>
    <row r="113" spans="1:2" x14ac:dyDescent="0.3">
      <c r="A113" s="5">
        <v>45768</v>
      </c>
      <c r="B113">
        <v>1</v>
      </c>
    </row>
    <row r="114" spans="1:2" x14ac:dyDescent="0.3">
      <c r="A114" s="5">
        <v>45769</v>
      </c>
      <c r="B114">
        <v>6</v>
      </c>
    </row>
    <row r="115" spans="1:2" x14ac:dyDescent="0.3">
      <c r="A115" s="5">
        <v>45770</v>
      </c>
      <c r="B115">
        <v>5</v>
      </c>
    </row>
    <row r="116" spans="1:2" x14ac:dyDescent="0.3">
      <c r="A116" s="5">
        <v>45771</v>
      </c>
      <c r="B116">
        <v>4</v>
      </c>
    </row>
    <row r="117" spans="1:2" x14ac:dyDescent="0.3">
      <c r="A117" s="5">
        <v>45772</v>
      </c>
      <c r="B117">
        <v>5.5</v>
      </c>
    </row>
    <row r="118" spans="1:2" x14ac:dyDescent="0.3">
      <c r="A118" s="5">
        <v>45773</v>
      </c>
      <c r="B118">
        <v>20</v>
      </c>
    </row>
    <row r="119" spans="1:2" x14ac:dyDescent="0.3">
      <c r="A119" s="5">
        <v>45774</v>
      </c>
      <c r="B119">
        <v>2.5</v>
      </c>
    </row>
    <row r="120" spans="1:2" x14ac:dyDescent="0.3">
      <c r="A120" s="5">
        <v>45775</v>
      </c>
      <c r="B120">
        <v>18</v>
      </c>
    </row>
    <row r="121" spans="1:2" x14ac:dyDescent="0.3">
      <c r="A121" s="5">
        <v>45776</v>
      </c>
      <c r="B121">
        <v>1</v>
      </c>
    </row>
    <row r="122" spans="1:2" x14ac:dyDescent="0.3">
      <c r="A122" s="5">
        <v>45777</v>
      </c>
      <c r="B122">
        <v>6</v>
      </c>
    </row>
    <row r="123" spans="1:2" x14ac:dyDescent="0.3">
      <c r="A123" s="5">
        <v>45778</v>
      </c>
      <c r="B123">
        <v>5</v>
      </c>
    </row>
    <row r="124" spans="1:2" x14ac:dyDescent="0.3">
      <c r="A124" s="5">
        <v>45779</v>
      </c>
      <c r="B124">
        <v>4</v>
      </c>
    </row>
    <row r="125" spans="1:2" x14ac:dyDescent="0.3">
      <c r="A125" s="5">
        <v>45780</v>
      </c>
      <c r="B125">
        <v>5.5</v>
      </c>
    </row>
    <row r="126" spans="1:2" x14ac:dyDescent="0.3">
      <c r="A126" s="5">
        <v>45781</v>
      </c>
      <c r="B126">
        <v>20</v>
      </c>
    </row>
    <row r="127" spans="1:2" x14ac:dyDescent="0.3">
      <c r="A127" s="5">
        <v>45782</v>
      </c>
      <c r="B127">
        <v>2.5</v>
      </c>
    </row>
    <row r="128" spans="1:2" x14ac:dyDescent="0.3">
      <c r="A128" s="5">
        <v>45783</v>
      </c>
      <c r="B128">
        <v>18</v>
      </c>
    </row>
    <row r="129" spans="1:2" x14ac:dyDescent="0.3">
      <c r="A129" s="5">
        <v>45784</v>
      </c>
      <c r="B129">
        <v>1</v>
      </c>
    </row>
    <row r="130" spans="1:2" x14ac:dyDescent="0.3">
      <c r="A130" s="5">
        <v>45785</v>
      </c>
      <c r="B130">
        <v>6</v>
      </c>
    </row>
    <row r="131" spans="1:2" x14ac:dyDescent="0.3">
      <c r="A131" s="5">
        <v>45786</v>
      </c>
      <c r="B131">
        <v>5</v>
      </c>
    </row>
    <row r="132" spans="1:2" x14ac:dyDescent="0.3">
      <c r="A132" s="5">
        <v>45787</v>
      </c>
      <c r="B132">
        <v>4</v>
      </c>
    </row>
    <row r="133" spans="1:2" x14ac:dyDescent="0.3">
      <c r="A133" s="5">
        <v>45788</v>
      </c>
      <c r="B133">
        <v>5.5</v>
      </c>
    </row>
    <row r="134" spans="1:2" x14ac:dyDescent="0.3">
      <c r="A134" s="5">
        <v>45789</v>
      </c>
      <c r="B134">
        <v>20</v>
      </c>
    </row>
    <row r="135" spans="1:2" x14ac:dyDescent="0.3">
      <c r="A135" s="5">
        <v>45790</v>
      </c>
      <c r="B135">
        <v>2.5</v>
      </c>
    </row>
    <row r="136" spans="1:2" x14ac:dyDescent="0.3">
      <c r="A136" s="5">
        <v>45791</v>
      </c>
      <c r="B136">
        <v>18</v>
      </c>
    </row>
    <row r="137" spans="1:2" x14ac:dyDescent="0.3">
      <c r="A137" s="5">
        <v>45792</v>
      </c>
      <c r="B137">
        <v>1</v>
      </c>
    </row>
    <row r="138" spans="1:2" x14ac:dyDescent="0.3">
      <c r="A138" s="5">
        <v>45793</v>
      </c>
      <c r="B138">
        <v>6</v>
      </c>
    </row>
    <row r="139" spans="1:2" x14ac:dyDescent="0.3">
      <c r="A139" s="5">
        <v>45794</v>
      </c>
      <c r="B139">
        <v>5</v>
      </c>
    </row>
    <row r="140" spans="1:2" x14ac:dyDescent="0.3">
      <c r="A140" s="5">
        <v>45795</v>
      </c>
      <c r="B140">
        <v>4</v>
      </c>
    </row>
    <row r="141" spans="1:2" x14ac:dyDescent="0.3">
      <c r="A141" s="5">
        <v>45796</v>
      </c>
      <c r="B141">
        <v>5.5</v>
      </c>
    </row>
    <row r="142" spans="1:2" x14ac:dyDescent="0.3">
      <c r="A142" s="5">
        <v>45797</v>
      </c>
      <c r="B142">
        <v>20</v>
      </c>
    </row>
    <row r="143" spans="1:2" x14ac:dyDescent="0.3">
      <c r="A143" s="5">
        <v>45798</v>
      </c>
      <c r="B143">
        <v>2.5</v>
      </c>
    </row>
    <row r="144" spans="1:2" x14ac:dyDescent="0.3">
      <c r="A144" s="5">
        <v>45799</v>
      </c>
      <c r="B144">
        <v>18</v>
      </c>
    </row>
    <row r="145" spans="1:2" x14ac:dyDescent="0.3">
      <c r="A145" s="5">
        <v>45800</v>
      </c>
      <c r="B145">
        <v>1</v>
      </c>
    </row>
    <row r="146" spans="1:2" x14ac:dyDescent="0.3">
      <c r="A146" s="5">
        <v>45801</v>
      </c>
      <c r="B146">
        <v>6</v>
      </c>
    </row>
    <row r="147" spans="1:2" x14ac:dyDescent="0.3">
      <c r="A147" s="5">
        <v>45802</v>
      </c>
      <c r="B147">
        <v>5</v>
      </c>
    </row>
    <row r="148" spans="1:2" x14ac:dyDescent="0.3">
      <c r="A148" s="5">
        <v>45803</v>
      </c>
      <c r="B148">
        <v>4</v>
      </c>
    </row>
    <row r="149" spans="1:2" x14ac:dyDescent="0.3">
      <c r="A149" s="5">
        <v>45804</v>
      </c>
      <c r="B149">
        <v>5.5</v>
      </c>
    </row>
    <row r="150" spans="1:2" x14ac:dyDescent="0.3">
      <c r="A150" s="5">
        <v>45805</v>
      </c>
      <c r="B150">
        <v>20</v>
      </c>
    </row>
    <row r="151" spans="1:2" x14ac:dyDescent="0.3">
      <c r="A151" s="5">
        <v>45806</v>
      </c>
      <c r="B151">
        <v>2.5</v>
      </c>
    </row>
    <row r="152" spans="1:2" x14ac:dyDescent="0.3">
      <c r="A152" s="5">
        <v>45807</v>
      </c>
      <c r="B152">
        <v>18</v>
      </c>
    </row>
    <row r="153" spans="1:2" x14ac:dyDescent="0.3">
      <c r="A153" s="5">
        <v>45808</v>
      </c>
      <c r="B153">
        <v>1</v>
      </c>
    </row>
    <row r="154" spans="1:2" x14ac:dyDescent="0.3">
      <c r="A154" s="5">
        <v>45809</v>
      </c>
      <c r="B154">
        <v>6</v>
      </c>
    </row>
    <row r="155" spans="1:2" x14ac:dyDescent="0.3">
      <c r="A155" s="5">
        <v>45810</v>
      </c>
      <c r="B155">
        <v>5</v>
      </c>
    </row>
    <row r="156" spans="1:2" x14ac:dyDescent="0.3">
      <c r="A156" s="5">
        <v>45811</v>
      </c>
      <c r="B156">
        <v>4</v>
      </c>
    </row>
    <row r="157" spans="1:2" x14ac:dyDescent="0.3">
      <c r="A157" s="5">
        <v>45812</v>
      </c>
      <c r="B157">
        <v>5.5</v>
      </c>
    </row>
    <row r="158" spans="1:2" x14ac:dyDescent="0.3">
      <c r="A158" s="5">
        <v>45813</v>
      </c>
      <c r="B158">
        <v>20</v>
      </c>
    </row>
    <row r="159" spans="1:2" x14ac:dyDescent="0.3">
      <c r="A159" s="5">
        <v>45814</v>
      </c>
      <c r="B159">
        <v>2.5</v>
      </c>
    </row>
    <row r="160" spans="1:2" x14ac:dyDescent="0.3">
      <c r="A160" s="5">
        <v>45815</v>
      </c>
      <c r="B160">
        <v>18</v>
      </c>
    </row>
    <row r="161" spans="1:2" x14ac:dyDescent="0.3">
      <c r="A161" s="5">
        <v>45816</v>
      </c>
      <c r="B161">
        <v>1</v>
      </c>
    </row>
    <row r="162" spans="1:2" x14ac:dyDescent="0.3">
      <c r="A162" s="5">
        <v>45817</v>
      </c>
      <c r="B162">
        <v>6</v>
      </c>
    </row>
    <row r="163" spans="1:2" x14ac:dyDescent="0.3">
      <c r="A163" s="5">
        <v>45818</v>
      </c>
      <c r="B163">
        <v>5</v>
      </c>
    </row>
    <row r="164" spans="1:2" x14ac:dyDescent="0.3">
      <c r="A164" s="5">
        <v>45819</v>
      </c>
      <c r="B164">
        <v>4</v>
      </c>
    </row>
    <row r="165" spans="1:2" x14ac:dyDescent="0.3">
      <c r="A165" s="5">
        <v>45820</v>
      </c>
      <c r="B165">
        <v>5.5</v>
      </c>
    </row>
    <row r="166" spans="1:2" x14ac:dyDescent="0.3">
      <c r="A166" s="5">
        <v>45821</v>
      </c>
      <c r="B166">
        <v>20</v>
      </c>
    </row>
    <row r="167" spans="1:2" x14ac:dyDescent="0.3">
      <c r="A167" s="5">
        <v>45822</v>
      </c>
      <c r="B167">
        <v>2.5</v>
      </c>
    </row>
    <row r="168" spans="1:2" x14ac:dyDescent="0.3">
      <c r="A168" s="5">
        <v>45823</v>
      </c>
      <c r="B168">
        <v>18</v>
      </c>
    </row>
    <row r="169" spans="1:2" x14ac:dyDescent="0.3">
      <c r="A169" s="5">
        <v>45824</v>
      </c>
      <c r="B169">
        <v>1</v>
      </c>
    </row>
    <row r="170" spans="1:2" x14ac:dyDescent="0.3">
      <c r="A170" s="5">
        <v>45825</v>
      </c>
      <c r="B170">
        <v>6</v>
      </c>
    </row>
    <row r="171" spans="1:2" x14ac:dyDescent="0.3">
      <c r="A171" s="5">
        <v>45826</v>
      </c>
      <c r="B171">
        <v>5</v>
      </c>
    </row>
    <row r="172" spans="1:2" x14ac:dyDescent="0.3">
      <c r="A172" s="5">
        <v>45827</v>
      </c>
      <c r="B172">
        <v>4</v>
      </c>
    </row>
    <row r="173" spans="1:2" x14ac:dyDescent="0.3">
      <c r="A173" s="5">
        <v>45828</v>
      </c>
      <c r="B173">
        <v>5.5</v>
      </c>
    </row>
    <row r="174" spans="1:2" x14ac:dyDescent="0.3">
      <c r="A174" s="5">
        <v>45829</v>
      </c>
      <c r="B174">
        <v>20</v>
      </c>
    </row>
    <row r="175" spans="1:2" x14ac:dyDescent="0.3">
      <c r="A175" s="5">
        <v>45830</v>
      </c>
      <c r="B175">
        <v>2.5</v>
      </c>
    </row>
    <row r="176" spans="1:2" x14ac:dyDescent="0.3">
      <c r="A176" s="5">
        <v>45831</v>
      </c>
      <c r="B176">
        <v>18</v>
      </c>
    </row>
    <row r="177" spans="1:2" x14ac:dyDescent="0.3">
      <c r="A177" s="5">
        <v>45832</v>
      </c>
      <c r="B177">
        <v>1</v>
      </c>
    </row>
    <row r="178" spans="1:2" x14ac:dyDescent="0.3">
      <c r="A178" s="5">
        <v>45833</v>
      </c>
      <c r="B178">
        <v>6</v>
      </c>
    </row>
    <row r="179" spans="1:2" x14ac:dyDescent="0.3">
      <c r="A179" s="5">
        <v>45834</v>
      </c>
      <c r="B179">
        <v>5</v>
      </c>
    </row>
    <row r="180" spans="1:2" x14ac:dyDescent="0.3">
      <c r="A180" s="5">
        <v>45835</v>
      </c>
      <c r="B180">
        <v>4</v>
      </c>
    </row>
    <row r="181" spans="1:2" x14ac:dyDescent="0.3">
      <c r="A181" s="5">
        <v>45836</v>
      </c>
      <c r="B181">
        <v>5.5</v>
      </c>
    </row>
    <row r="182" spans="1:2" x14ac:dyDescent="0.3">
      <c r="A182" s="5">
        <v>45837</v>
      </c>
      <c r="B182">
        <v>20</v>
      </c>
    </row>
    <row r="183" spans="1:2" x14ac:dyDescent="0.3">
      <c r="A183" s="5">
        <v>45838</v>
      </c>
      <c r="B183">
        <v>2.5</v>
      </c>
    </row>
    <row r="184" spans="1:2" x14ac:dyDescent="0.3">
      <c r="A184" s="5">
        <v>45839</v>
      </c>
      <c r="B184">
        <v>18</v>
      </c>
    </row>
    <row r="185" spans="1:2" x14ac:dyDescent="0.3">
      <c r="A185" s="5">
        <v>45840</v>
      </c>
      <c r="B185">
        <v>1</v>
      </c>
    </row>
    <row r="186" spans="1:2" x14ac:dyDescent="0.3">
      <c r="A186" s="5">
        <v>45841</v>
      </c>
      <c r="B186">
        <v>6</v>
      </c>
    </row>
    <row r="187" spans="1:2" x14ac:dyDescent="0.3">
      <c r="A187" s="5">
        <v>45842</v>
      </c>
      <c r="B187">
        <v>5</v>
      </c>
    </row>
    <row r="188" spans="1:2" x14ac:dyDescent="0.3">
      <c r="A188" s="5">
        <v>45843</v>
      </c>
      <c r="B188">
        <v>4</v>
      </c>
    </row>
    <row r="189" spans="1:2" x14ac:dyDescent="0.3">
      <c r="A189" s="5">
        <v>45844</v>
      </c>
      <c r="B189">
        <v>5.5</v>
      </c>
    </row>
    <row r="190" spans="1:2" x14ac:dyDescent="0.3">
      <c r="A190" s="5">
        <v>45845</v>
      </c>
      <c r="B190">
        <v>20</v>
      </c>
    </row>
    <row r="191" spans="1:2" x14ac:dyDescent="0.3">
      <c r="A191" s="5">
        <v>45846</v>
      </c>
      <c r="B191">
        <v>2.5</v>
      </c>
    </row>
    <row r="192" spans="1:2" x14ac:dyDescent="0.3">
      <c r="A192" s="5">
        <v>45847</v>
      </c>
      <c r="B192">
        <v>18</v>
      </c>
    </row>
    <row r="193" spans="1:2" x14ac:dyDescent="0.3">
      <c r="A193" s="5">
        <v>45848</v>
      </c>
      <c r="B193">
        <v>1</v>
      </c>
    </row>
    <row r="194" spans="1:2" x14ac:dyDescent="0.3">
      <c r="A194" s="5">
        <v>45849</v>
      </c>
      <c r="B194">
        <v>6</v>
      </c>
    </row>
    <row r="195" spans="1:2" x14ac:dyDescent="0.3">
      <c r="A195" s="5">
        <v>45850</v>
      </c>
      <c r="B195">
        <v>5</v>
      </c>
    </row>
    <row r="196" spans="1:2" x14ac:dyDescent="0.3">
      <c r="A196" s="5">
        <v>45851</v>
      </c>
      <c r="B196">
        <v>4</v>
      </c>
    </row>
    <row r="197" spans="1:2" x14ac:dyDescent="0.3">
      <c r="A197" s="5">
        <v>45852</v>
      </c>
      <c r="B197">
        <v>5.5</v>
      </c>
    </row>
    <row r="198" spans="1:2" x14ac:dyDescent="0.3">
      <c r="A198" s="5">
        <v>45853</v>
      </c>
      <c r="B198">
        <v>20</v>
      </c>
    </row>
    <row r="199" spans="1:2" x14ac:dyDescent="0.3">
      <c r="A199" s="5">
        <v>45854</v>
      </c>
      <c r="B199">
        <v>2.5</v>
      </c>
    </row>
    <row r="200" spans="1:2" x14ac:dyDescent="0.3">
      <c r="A200" s="5">
        <v>45855</v>
      </c>
      <c r="B200">
        <v>18</v>
      </c>
    </row>
    <row r="201" spans="1:2" x14ac:dyDescent="0.3">
      <c r="A201" s="5">
        <v>45856</v>
      </c>
      <c r="B201">
        <v>1</v>
      </c>
    </row>
    <row r="202" spans="1:2" x14ac:dyDescent="0.3">
      <c r="A202" s="5">
        <v>45857</v>
      </c>
      <c r="B202">
        <v>6</v>
      </c>
    </row>
    <row r="203" spans="1:2" x14ac:dyDescent="0.3">
      <c r="A203" s="5">
        <v>45858</v>
      </c>
      <c r="B203">
        <v>5</v>
      </c>
    </row>
    <row r="204" spans="1:2" x14ac:dyDescent="0.3">
      <c r="A204" s="5">
        <v>45859</v>
      </c>
      <c r="B204">
        <v>4</v>
      </c>
    </row>
    <row r="205" spans="1:2" x14ac:dyDescent="0.3">
      <c r="A205" s="5">
        <v>45860</v>
      </c>
      <c r="B205">
        <v>5.5</v>
      </c>
    </row>
    <row r="206" spans="1:2" x14ac:dyDescent="0.3">
      <c r="A206" s="5">
        <v>45861</v>
      </c>
      <c r="B206">
        <v>20</v>
      </c>
    </row>
    <row r="207" spans="1:2" x14ac:dyDescent="0.3">
      <c r="A207" s="5">
        <v>45862</v>
      </c>
      <c r="B207">
        <v>2.5</v>
      </c>
    </row>
    <row r="208" spans="1:2" x14ac:dyDescent="0.3">
      <c r="A208" s="5">
        <v>45863</v>
      </c>
      <c r="B208">
        <v>18</v>
      </c>
    </row>
    <row r="209" spans="1:2" x14ac:dyDescent="0.3">
      <c r="A209" s="5">
        <v>45864</v>
      </c>
      <c r="B209">
        <v>1</v>
      </c>
    </row>
    <row r="210" spans="1:2" x14ac:dyDescent="0.3">
      <c r="A210" s="5">
        <v>45865</v>
      </c>
      <c r="B210">
        <v>6</v>
      </c>
    </row>
    <row r="211" spans="1:2" x14ac:dyDescent="0.3">
      <c r="A211" s="5">
        <v>45866</v>
      </c>
      <c r="B211">
        <v>5</v>
      </c>
    </row>
    <row r="212" spans="1:2" x14ac:dyDescent="0.3">
      <c r="A212" s="5">
        <v>45867</v>
      </c>
      <c r="B212">
        <v>4</v>
      </c>
    </row>
    <row r="213" spans="1:2" x14ac:dyDescent="0.3">
      <c r="A213" s="5">
        <v>45868</v>
      </c>
      <c r="B213">
        <v>5.5</v>
      </c>
    </row>
    <row r="214" spans="1:2" x14ac:dyDescent="0.3">
      <c r="A214" s="5">
        <v>45869</v>
      </c>
      <c r="B214">
        <v>20</v>
      </c>
    </row>
    <row r="215" spans="1:2" x14ac:dyDescent="0.3">
      <c r="A215" s="5">
        <v>45870</v>
      </c>
      <c r="B215">
        <v>2.5</v>
      </c>
    </row>
    <row r="216" spans="1:2" x14ac:dyDescent="0.3">
      <c r="A216" s="5">
        <v>45871</v>
      </c>
      <c r="B216">
        <v>18</v>
      </c>
    </row>
    <row r="217" spans="1:2" x14ac:dyDescent="0.3">
      <c r="A217" s="5">
        <v>45872</v>
      </c>
      <c r="B217">
        <v>1</v>
      </c>
    </row>
    <row r="218" spans="1:2" x14ac:dyDescent="0.3">
      <c r="A218" s="5">
        <v>45873</v>
      </c>
      <c r="B218">
        <v>6</v>
      </c>
    </row>
    <row r="219" spans="1:2" x14ac:dyDescent="0.3">
      <c r="A219" s="5">
        <v>45874</v>
      </c>
      <c r="B219">
        <v>5</v>
      </c>
    </row>
    <row r="220" spans="1:2" x14ac:dyDescent="0.3">
      <c r="A220" s="5">
        <v>45875</v>
      </c>
      <c r="B220">
        <v>4</v>
      </c>
    </row>
    <row r="221" spans="1:2" x14ac:dyDescent="0.3">
      <c r="A221" s="5">
        <v>45876</v>
      </c>
      <c r="B221">
        <v>5.5</v>
      </c>
    </row>
    <row r="222" spans="1:2" x14ac:dyDescent="0.3">
      <c r="A222" s="5">
        <v>45877</v>
      </c>
      <c r="B222">
        <v>20</v>
      </c>
    </row>
    <row r="223" spans="1:2" x14ac:dyDescent="0.3">
      <c r="A223" s="5">
        <v>45878</v>
      </c>
      <c r="B223">
        <v>2.5</v>
      </c>
    </row>
    <row r="224" spans="1:2" x14ac:dyDescent="0.3">
      <c r="A224" s="5">
        <v>45879</v>
      </c>
      <c r="B224">
        <v>18</v>
      </c>
    </row>
    <row r="225" spans="1:2" x14ac:dyDescent="0.3">
      <c r="A225" s="5">
        <v>45880</v>
      </c>
      <c r="B225">
        <v>1</v>
      </c>
    </row>
    <row r="226" spans="1:2" x14ac:dyDescent="0.3">
      <c r="A226" s="5">
        <v>45881</v>
      </c>
      <c r="B226">
        <v>6</v>
      </c>
    </row>
    <row r="227" spans="1:2" x14ac:dyDescent="0.3">
      <c r="A227" s="5">
        <v>45882</v>
      </c>
      <c r="B227">
        <v>5</v>
      </c>
    </row>
    <row r="228" spans="1:2" x14ac:dyDescent="0.3">
      <c r="A228" s="5">
        <v>45883</v>
      </c>
      <c r="B228">
        <v>4</v>
      </c>
    </row>
    <row r="229" spans="1:2" x14ac:dyDescent="0.3">
      <c r="A229" s="5">
        <v>45884</v>
      </c>
      <c r="B229">
        <v>5.5</v>
      </c>
    </row>
    <row r="230" spans="1:2" x14ac:dyDescent="0.3">
      <c r="A230" s="5">
        <v>45885</v>
      </c>
      <c r="B230">
        <v>20</v>
      </c>
    </row>
    <row r="231" spans="1:2" x14ac:dyDescent="0.3">
      <c r="A231" s="5">
        <v>45886</v>
      </c>
      <c r="B231">
        <v>2.5</v>
      </c>
    </row>
    <row r="232" spans="1:2" x14ac:dyDescent="0.3">
      <c r="A232" s="5">
        <v>45887</v>
      </c>
      <c r="B232">
        <v>18</v>
      </c>
    </row>
    <row r="233" spans="1:2" x14ac:dyDescent="0.3">
      <c r="A233" s="5">
        <v>45888</v>
      </c>
      <c r="B233">
        <v>1</v>
      </c>
    </row>
    <row r="234" spans="1:2" x14ac:dyDescent="0.3">
      <c r="A234" s="5">
        <v>45889</v>
      </c>
      <c r="B234">
        <v>6</v>
      </c>
    </row>
    <row r="235" spans="1:2" x14ac:dyDescent="0.3">
      <c r="A235" s="5">
        <v>45890</v>
      </c>
      <c r="B235">
        <v>5</v>
      </c>
    </row>
    <row r="236" spans="1:2" x14ac:dyDescent="0.3">
      <c r="A236" s="5">
        <v>45891</v>
      </c>
      <c r="B236">
        <v>4</v>
      </c>
    </row>
    <row r="237" spans="1:2" x14ac:dyDescent="0.3">
      <c r="A237" s="5">
        <v>45892</v>
      </c>
      <c r="B237">
        <v>5.5</v>
      </c>
    </row>
    <row r="238" spans="1:2" x14ac:dyDescent="0.3">
      <c r="A238" s="5">
        <v>45893</v>
      </c>
      <c r="B238">
        <v>20</v>
      </c>
    </row>
    <row r="239" spans="1:2" x14ac:dyDescent="0.3">
      <c r="A239" s="5">
        <v>45894</v>
      </c>
      <c r="B239">
        <v>2.5</v>
      </c>
    </row>
    <row r="240" spans="1:2" x14ac:dyDescent="0.3">
      <c r="A240" s="5">
        <v>45895</v>
      </c>
      <c r="B240">
        <v>18</v>
      </c>
    </row>
    <row r="241" spans="1:2" x14ac:dyDescent="0.3">
      <c r="A241" s="5">
        <v>45896</v>
      </c>
      <c r="B241">
        <v>1</v>
      </c>
    </row>
    <row r="242" spans="1:2" x14ac:dyDescent="0.3">
      <c r="A242" s="5">
        <v>45897</v>
      </c>
      <c r="B242">
        <v>6</v>
      </c>
    </row>
    <row r="243" spans="1:2" x14ac:dyDescent="0.3">
      <c r="A243" s="5">
        <v>45898</v>
      </c>
      <c r="B243">
        <v>5</v>
      </c>
    </row>
    <row r="244" spans="1:2" x14ac:dyDescent="0.3">
      <c r="A244" s="5">
        <v>45899</v>
      </c>
      <c r="B244">
        <v>4</v>
      </c>
    </row>
    <row r="245" spans="1:2" x14ac:dyDescent="0.3">
      <c r="A245" s="5">
        <v>45900</v>
      </c>
      <c r="B245">
        <v>5.5</v>
      </c>
    </row>
    <row r="246" spans="1:2" x14ac:dyDescent="0.3">
      <c r="A246" s="5">
        <v>45901</v>
      </c>
      <c r="B246">
        <v>20</v>
      </c>
    </row>
    <row r="247" spans="1:2" x14ac:dyDescent="0.3">
      <c r="A247" s="5">
        <v>45902</v>
      </c>
      <c r="B247">
        <v>2.5</v>
      </c>
    </row>
    <row r="248" spans="1:2" x14ac:dyDescent="0.3">
      <c r="A248" s="5">
        <v>45903</v>
      </c>
      <c r="B248">
        <v>18</v>
      </c>
    </row>
    <row r="249" spans="1:2" x14ac:dyDescent="0.3">
      <c r="A249" s="5">
        <v>45904</v>
      </c>
      <c r="B249">
        <v>1</v>
      </c>
    </row>
    <row r="250" spans="1:2" x14ac:dyDescent="0.3">
      <c r="A250" s="5">
        <v>45905</v>
      </c>
      <c r="B250">
        <v>6</v>
      </c>
    </row>
    <row r="251" spans="1:2" x14ac:dyDescent="0.3">
      <c r="A251" s="5">
        <v>45906</v>
      </c>
      <c r="B251">
        <v>5</v>
      </c>
    </row>
    <row r="252" spans="1:2" x14ac:dyDescent="0.3">
      <c r="A252" s="5">
        <v>45907</v>
      </c>
      <c r="B252">
        <v>4</v>
      </c>
    </row>
    <row r="253" spans="1:2" x14ac:dyDescent="0.3">
      <c r="A253" s="5">
        <v>45908</v>
      </c>
      <c r="B253">
        <v>5.5</v>
      </c>
    </row>
    <row r="254" spans="1:2" x14ac:dyDescent="0.3">
      <c r="A254" s="5">
        <v>45909</v>
      </c>
      <c r="B254">
        <v>20</v>
      </c>
    </row>
    <row r="255" spans="1:2" x14ac:dyDescent="0.3">
      <c r="A255" s="5">
        <v>45910</v>
      </c>
      <c r="B255">
        <v>2.5</v>
      </c>
    </row>
    <row r="256" spans="1:2" x14ac:dyDescent="0.3">
      <c r="A256" s="5">
        <v>45911</v>
      </c>
      <c r="B256">
        <v>18</v>
      </c>
    </row>
    <row r="257" spans="1:2" x14ac:dyDescent="0.3">
      <c r="A257" s="5">
        <v>45912</v>
      </c>
      <c r="B257">
        <v>1</v>
      </c>
    </row>
    <row r="258" spans="1:2" x14ac:dyDescent="0.3">
      <c r="A258" s="5">
        <v>45913</v>
      </c>
      <c r="B258">
        <v>6</v>
      </c>
    </row>
    <row r="259" spans="1:2" x14ac:dyDescent="0.3">
      <c r="A259" s="5">
        <v>45914</v>
      </c>
      <c r="B259">
        <v>5</v>
      </c>
    </row>
    <row r="260" spans="1:2" x14ac:dyDescent="0.3">
      <c r="A260" s="5">
        <v>45915</v>
      </c>
      <c r="B260">
        <v>4</v>
      </c>
    </row>
    <row r="261" spans="1:2" x14ac:dyDescent="0.3">
      <c r="A261" s="5">
        <v>45916</v>
      </c>
      <c r="B261">
        <v>5.5</v>
      </c>
    </row>
    <row r="262" spans="1:2" x14ac:dyDescent="0.3">
      <c r="A262" s="5">
        <v>45917</v>
      </c>
      <c r="B262">
        <v>20</v>
      </c>
    </row>
    <row r="263" spans="1:2" x14ac:dyDescent="0.3">
      <c r="A263" s="5">
        <v>45918</v>
      </c>
      <c r="B263">
        <v>2.5</v>
      </c>
    </row>
    <row r="264" spans="1:2" x14ac:dyDescent="0.3">
      <c r="A264" s="5">
        <v>45919</v>
      </c>
      <c r="B264">
        <v>18</v>
      </c>
    </row>
    <row r="265" spans="1:2" x14ac:dyDescent="0.3">
      <c r="A265" s="5">
        <v>45920</v>
      </c>
      <c r="B265">
        <v>1</v>
      </c>
    </row>
    <row r="266" spans="1:2" x14ac:dyDescent="0.3">
      <c r="A266" s="5">
        <v>45921</v>
      </c>
      <c r="B266">
        <v>6</v>
      </c>
    </row>
    <row r="267" spans="1:2" x14ac:dyDescent="0.3">
      <c r="A267" s="5">
        <v>45922</v>
      </c>
      <c r="B267">
        <v>5</v>
      </c>
    </row>
    <row r="268" spans="1:2" x14ac:dyDescent="0.3">
      <c r="A268" s="5">
        <v>45923</v>
      </c>
      <c r="B268">
        <v>4</v>
      </c>
    </row>
    <row r="269" spans="1:2" x14ac:dyDescent="0.3">
      <c r="A269" s="5">
        <v>45924</v>
      </c>
      <c r="B269">
        <v>5.5</v>
      </c>
    </row>
    <row r="270" spans="1:2" x14ac:dyDescent="0.3">
      <c r="A270" s="5">
        <v>45925</v>
      </c>
      <c r="B270">
        <v>20</v>
      </c>
    </row>
    <row r="271" spans="1:2" x14ac:dyDescent="0.3">
      <c r="A271" s="5">
        <v>45926</v>
      </c>
      <c r="B271">
        <v>2.5</v>
      </c>
    </row>
    <row r="272" spans="1:2" x14ac:dyDescent="0.3">
      <c r="A272" s="5">
        <v>45927</v>
      </c>
      <c r="B272">
        <v>18</v>
      </c>
    </row>
    <row r="273" spans="1:2" x14ac:dyDescent="0.3">
      <c r="A273" s="5">
        <v>45928</v>
      </c>
      <c r="B273">
        <v>1</v>
      </c>
    </row>
    <row r="274" spans="1:2" x14ac:dyDescent="0.3">
      <c r="A274" s="5">
        <v>45929</v>
      </c>
      <c r="B274">
        <v>6</v>
      </c>
    </row>
    <row r="275" spans="1:2" x14ac:dyDescent="0.3">
      <c r="A275" s="5">
        <v>45930</v>
      </c>
      <c r="B275">
        <v>5</v>
      </c>
    </row>
    <row r="276" spans="1:2" x14ac:dyDescent="0.3">
      <c r="A276" s="5">
        <v>45931</v>
      </c>
      <c r="B276">
        <v>4</v>
      </c>
    </row>
    <row r="277" spans="1:2" x14ac:dyDescent="0.3">
      <c r="A277" s="5">
        <v>45932</v>
      </c>
      <c r="B277">
        <v>5.5</v>
      </c>
    </row>
    <row r="278" spans="1:2" x14ac:dyDescent="0.3">
      <c r="A278" s="5">
        <v>45933</v>
      </c>
      <c r="B278">
        <v>20</v>
      </c>
    </row>
    <row r="279" spans="1:2" x14ac:dyDescent="0.3">
      <c r="A279" s="5">
        <v>45934</v>
      </c>
      <c r="B279">
        <v>2.5</v>
      </c>
    </row>
    <row r="280" spans="1:2" x14ac:dyDescent="0.3">
      <c r="A280" s="5">
        <v>45935</v>
      </c>
      <c r="B280">
        <v>18</v>
      </c>
    </row>
    <row r="281" spans="1:2" x14ac:dyDescent="0.3">
      <c r="A281" s="5">
        <v>45936</v>
      </c>
      <c r="B281">
        <v>1</v>
      </c>
    </row>
    <row r="282" spans="1:2" x14ac:dyDescent="0.3">
      <c r="A282" s="5">
        <v>45937</v>
      </c>
      <c r="B282">
        <v>6</v>
      </c>
    </row>
    <row r="283" spans="1:2" x14ac:dyDescent="0.3">
      <c r="A283" s="5">
        <v>45938</v>
      </c>
      <c r="B283">
        <v>5</v>
      </c>
    </row>
    <row r="284" spans="1:2" x14ac:dyDescent="0.3">
      <c r="A284" s="5">
        <v>45939</v>
      </c>
      <c r="B284">
        <v>4</v>
      </c>
    </row>
    <row r="285" spans="1:2" x14ac:dyDescent="0.3">
      <c r="A285" s="5">
        <v>45940</v>
      </c>
      <c r="B285">
        <v>5.5</v>
      </c>
    </row>
    <row r="286" spans="1:2" x14ac:dyDescent="0.3">
      <c r="A286" s="5">
        <v>45941</v>
      </c>
      <c r="B286">
        <v>20</v>
      </c>
    </row>
    <row r="287" spans="1:2" x14ac:dyDescent="0.3">
      <c r="A287" s="5">
        <v>45942</v>
      </c>
      <c r="B287">
        <v>2.5</v>
      </c>
    </row>
    <row r="288" spans="1:2" x14ac:dyDescent="0.3">
      <c r="A288" s="5">
        <v>45943</v>
      </c>
      <c r="B288">
        <v>18</v>
      </c>
    </row>
    <row r="289" spans="1:2" x14ac:dyDescent="0.3">
      <c r="A289" s="5">
        <v>45944</v>
      </c>
      <c r="B289">
        <v>1</v>
      </c>
    </row>
    <row r="290" spans="1:2" x14ac:dyDescent="0.3">
      <c r="A290" s="5">
        <v>45945</v>
      </c>
      <c r="B290">
        <v>6</v>
      </c>
    </row>
    <row r="291" spans="1:2" x14ac:dyDescent="0.3">
      <c r="A291" s="5">
        <v>45946</v>
      </c>
      <c r="B291">
        <v>5</v>
      </c>
    </row>
    <row r="292" spans="1:2" x14ac:dyDescent="0.3">
      <c r="A292" s="5">
        <v>45947</v>
      </c>
      <c r="B292">
        <v>4</v>
      </c>
    </row>
    <row r="293" spans="1:2" x14ac:dyDescent="0.3">
      <c r="A293" s="5">
        <v>45948</v>
      </c>
      <c r="B293">
        <v>5.5</v>
      </c>
    </row>
    <row r="294" spans="1:2" x14ac:dyDescent="0.3">
      <c r="A294" s="5">
        <v>45949</v>
      </c>
      <c r="B294">
        <v>20</v>
      </c>
    </row>
    <row r="295" spans="1:2" x14ac:dyDescent="0.3">
      <c r="A295" s="5">
        <v>45950</v>
      </c>
      <c r="B295">
        <v>2.5</v>
      </c>
    </row>
    <row r="296" spans="1:2" x14ac:dyDescent="0.3">
      <c r="A296" s="5">
        <v>45951</v>
      </c>
      <c r="B296">
        <v>18</v>
      </c>
    </row>
    <row r="297" spans="1:2" x14ac:dyDescent="0.3">
      <c r="A297" s="5">
        <v>45952</v>
      </c>
      <c r="B297">
        <v>1</v>
      </c>
    </row>
    <row r="298" spans="1:2" x14ac:dyDescent="0.3">
      <c r="A298" s="5">
        <v>45953</v>
      </c>
      <c r="B298">
        <v>6</v>
      </c>
    </row>
    <row r="299" spans="1:2" x14ac:dyDescent="0.3">
      <c r="A299" s="5">
        <v>45954</v>
      </c>
      <c r="B299">
        <v>5</v>
      </c>
    </row>
    <row r="300" spans="1:2" x14ac:dyDescent="0.3">
      <c r="A300" s="5">
        <v>45955</v>
      </c>
      <c r="B300">
        <v>4</v>
      </c>
    </row>
    <row r="301" spans="1:2" x14ac:dyDescent="0.3">
      <c r="A301" s="5">
        <v>45956</v>
      </c>
      <c r="B301">
        <v>5.5</v>
      </c>
    </row>
    <row r="302" spans="1:2" x14ac:dyDescent="0.3">
      <c r="A302" s="5">
        <v>45957</v>
      </c>
      <c r="B302">
        <v>20</v>
      </c>
    </row>
    <row r="303" spans="1:2" x14ac:dyDescent="0.3">
      <c r="A303" s="5">
        <v>45958</v>
      </c>
      <c r="B303">
        <v>2.5</v>
      </c>
    </row>
    <row r="304" spans="1:2" x14ac:dyDescent="0.3">
      <c r="A304" s="5">
        <v>45959</v>
      </c>
      <c r="B304">
        <v>18</v>
      </c>
    </row>
    <row r="305" spans="1:2" x14ac:dyDescent="0.3">
      <c r="A305" s="5">
        <v>45960</v>
      </c>
      <c r="B305">
        <v>1</v>
      </c>
    </row>
    <row r="306" spans="1:2" x14ac:dyDescent="0.3">
      <c r="A306" s="5">
        <v>45961</v>
      </c>
      <c r="B306">
        <v>6</v>
      </c>
    </row>
    <row r="307" spans="1:2" x14ac:dyDescent="0.3">
      <c r="A307" s="5">
        <v>45962</v>
      </c>
      <c r="B307">
        <v>5</v>
      </c>
    </row>
    <row r="308" spans="1:2" x14ac:dyDescent="0.3">
      <c r="A308" s="5">
        <v>45963</v>
      </c>
      <c r="B308">
        <v>4</v>
      </c>
    </row>
    <row r="309" spans="1:2" x14ac:dyDescent="0.3">
      <c r="A309" s="5">
        <v>45964</v>
      </c>
      <c r="B309">
        <v>5.5</v>
      </c>
    </row>
    <row r="310" spans="1:2" x14ac:dyDescent="0.3">
      <c r="A310" s="5">
        <v>45965</v>
      </c>
      <c r="B310">
        <v>20</v>
      </c>
    </row>
    <row r="311" spans="1:2" x14ac:dyDescent="0.3">
      <c r="A311" s="5">
        <v>45966</v>
      </c>
      <c r="B311">
        <v>2.5</v>
      </c>
    </row>
    <row r="312" spans="1:2" x14ac:dyDescent="0.3">
      <c r="A312" s="5">
        <v>45967</v>
      </c>
      <c r="B312">
        <v>18</v>
      </c>
    </row>
    <row r="313" spans="1:2" x14ac:dyDescent="0.3">
      <c r="A313" s="5">
        <v>45968</v>
      </c>
      <c r="B313">
        <v>1</v>
      </c>
    </row>
    <row r="314" spans="1:2" x14ac:dyDescent="0.3">
      <c r="A314" s="5">
        <v>45969</v>
      </c>
      <c r="B314">
        <v>6</v>
      </c>
    </row>
    <row r="315" spans="1:2" x14ac:dyDescent="0.3">
      <c r="A315" s="5">
        <v>45970</v>
      </c>
      <c r="B315">
        <v>5</v>
      </c>
    </row>
    <row r="316" spans="1:2" x14ac:dyDescent="0.3">
      <c r="A316" s="5">
        <v>45971</v>
      </c>
      <c r="B316">
        <v>4</v>
      </c>
    </row>
    <row r="317" spans="1:2" x14ac:dyDescent="0.3">
      <c r="A317" s="5">
        <v>45972</v>
      </c>
      <c r="B317">
        <v>5.5</v>
      </c>
    </row>
    <row r="318" spans="1:2" x14ac:dyDescent="0.3">
      <c r="A318" s="5">
        <v>45973</v>
      </c>
      <c r="B318">
        <v>20</v>
      </c>
    </row>
    <row r="319" spans="1:2" x14ac:dyDescent="0.3">
      <c r="A319" s="5">
        <v>45974</v>
      </c>
      <c r="B319">
        <v>2.5</v>
      </c>
    </row>
    <row r="320" spans="1:2" x14ac:dyDescent="0.3">
      <c r="A320" s="5">
        <v>45975</v>
      </c>
      <c r="B320">
        <v>18</v>
      </c>
    </row>
    <row r="321" spans="1:2" x14ac:dyDescent="0.3">
      <c r="A321" s="5">
        <v>45976</v>
      </c>
      <c r="B321">
        <v>1</v>
      </c>
    </row>
    <row r="322" spans="1:2" x14ac:dyDescent="0.3">
      <c r="A322" s="5">
        <v>45977</v>
      </c>
      <c r="B322">
        <v>6</v>
      </c>
    </row>
    <row r="323" spans="1:2" x14ac:dyDescent="0.3">
      <c r="A323" s="5">
        <v>45978</v>
      </c>
      <c r="B323">
        <v>5</v>
      </c>
    </row>
    <row r="324" spans="1:2" x14ac:dyDescent="0.3">
      <c r="A324" s="5">
        <v>45979</v>
      </c>
      <c r="B324">
        <v>4</v>
      </c>
    </row>
    <row r="325" spans="1:2" x14ac:dyDescent="0.3">
      <c r="A325" s="5">
        <v>45980</v>
      </c>
      <c r="B325">
        <v>5.5</v>
      </c>
    </row>
    <row r="326" spans="1:2" x14ac:dyDescent="0.3">
      <c r="A326" s="5">
        <v>45981</v>
      </c>
      <c r="B326">
        <v>20</v>
      </c>
    </row>
    <row r="327" spans="1:2" x14ac:dyDescent="0.3">
      <c r="A327" s="5">
        <v>45982</v>
      </c>
      <c r="B327">
        <v>2.5</v>
      </c>
    </row>
    <row r="328" spans="1:2" x14ac:dyDescent="0.3">
      <c r="A328" s="5">
        <v>45983</v>
      </c>
      <c r="B328">
        <v>18</v>
      </c>
    </row>
    <row r="329" spans="1:2" x14ac:dyDescent="0.3">
      <c r="A329" s="5">
        <v>45984</v>
      </c>
      <c r="B329">
        <v>1</v>
      </c>
    </row>
    <row r="330" spans="1:2" x14ac:dyDescent="0.3">
      <c r="A330" s="5">
        <v>45985</v>
      </c>
      <c r="B330">
        <v>6</v>
      </c>
    </row>
    <row r="331" spans="1:2" x14ac:dyDescent="0.3">
      <c r="A331" s="5">
        <v>45986</v>
      </c>
      <c r="B331">
        <v>5</v>
      </c>
    </row>
    <row r="332" spans="1:2" x14ac:dyDescent="0.3">
      <c r="A332" s="5">
        <v>45987</v>
      </c>
      <c r="B332">
        <v>4</v>
      </c>
    </row>
    <row r="333" spans="1:2" x14ac:dyDescent="0.3">
      <c r="A333" s="5">
        <v>45988</v>
      </c>
      <c r="B333">
        <v>5.5</v>
      </c>
    </row>
    <row r="334" spans="1:2" x14ac:dyDescent="0.3">
      <c r="A334" s="5">
        <v>45989</v>
      </c>
      <c r="B334">
        <v>20</v>
      </c>
    </row>
    <row r="335" spans="1:2" x14ac:dyDescent="0.3">
      <c r="A335" s="5">
        <v>45990</v>
      </c>
      <c r="B335">
        <v>2.5</v>
      </c>
    </row>
    <row r="336" spans="1:2" x14ac:dyDescent="0.3">
      <c r="A336" s="5">
        <v>45991</v>
      </c>
      <c r="B336">
        <v>18</v>
      </c>
    </row>
    <row r="337" spans="1:2" x14ac:dyDescent="0.3">
      <c r="A337" s="5">
        <v>45992</v>
      </c>
      <c r="B337">
        <v>1</v>
      </c>
    </row>
    <row r="338" spans="1:2" x14ac:dyDescent="0.3">
      <c r="A338" s="5">
        <v>45993</v>
      </c>
      <c r="B338">
        <v>6</v>
      </c>
    </row>
    <row r="339" spans="1:2" x14ac:dyDescent="0.3">
      <c r="A339" s="5">
        <v>45994</v>
      </c>
      <c r="B339">
        <v>5</v>
      </c>
    </row>
    <row r="340" spans="1:2" x14ac:dyDescent="0.3">
      <c r="A340" s="5">
        <v>45995</v>
      </c>
      <c r="B340">
        <v>4</v>
      </c>
    </row>
    <row r="341" spans="1:2" x14ac:dyDescent="0.3">
      <c r="A341" s="5">
        <v>45996</v>
      </c>
      <c r="B341">
        <v>5.5</v>
      </c>
    </row>
    <row r="342" spans="1:2" x14ac:dyDescent="0.3">
      <c r="A342" s="5">
        <v>45997</v>
      </c>
      <c r="B342">
        <v>20</v>
      </c>
    </row>
    <row r="343" spans="1:2" x14ac:dyDescent="0.3">
      <c r="A343" s="5">
        <v>45998</v>
      </c>
      <c r="B343">
        <v>2.5</v>
      </c>
    </row>
    <row r="344" spans="1:2" x14ac:dyDescent="0.3">
      <c r="A344" s="5">
        <v>45999</v>
      </c>
      <c r="B344">
        <v>18</v>
      </c>
    </row>
    <row r="345" spans="1:2" x14ac:dyDescent="0.3">
      <c r="A345" s="5">
        <v>46000</v>
      </c>
      <c r="B345">
        <v>1</v>
      </c>
    </row>
    <row r="346" spans="1:2" x14ac:dyDescent="0.3">
      <c r="A346" s="5">
        <v>46001</v>
      </c>
      <c r="B346">
        <v>6</v>
      </c>
    </row>
    <row r="347" spans="1:2" x14ac:dyDescent="0.3">
      <c r="A347" s="5">
        <v>46002</v>
      </c>
      <c r="B347">
        <v>5</v>
      </c>
    </row>
    <row r="348" spans="1:2" x14ac:dyDescent="0.3">
      <c r="A348" s="5">
        <v>46003</v>
      </c>
      <c r="B348">
        <v>4</v>
      </c>
    </row>
    <row r="349" spans="1:2" x14ac:dyDescent="0.3">
      <c r="A349" s="5">
        <v>46004</v>
      </c>
      <c r="B349">
        <v>5.5</v>
      </c>
    </row>
    <row r="350" spans="1:2" x14ac:dyDescent="0.3">
      <c r="A350" s="5">
        <v>46005</v>
      </c>
      <c r="B350">
        <v>20</v>
      </c>
    </row>
    <row r="351" spans="1:2" x14ac:dyDescent="0.3">
      <c r="A351" s="5">
        <v>46006</v>
      </c>
      <c r="B351">
        <v>2.5</v>
      </c>
    </row>
    <row r="352" spans="1:2" x14ac:dyDescent="0.3">
      <c r="A352" s="5">
        <v>46007</v>
      </c>
      <c r="B352">
        <v>18</v>
      </c>
    </row>
    <row r="353" spans="1:2" x14ac:dyDescent="0.3">
      <c r="A353" s="5">
        <v>46008</v>
      </c>
      <c r="B353">
        <v>1</v>
      </c>
    </row>
    <row r="354" spans="1:2" x14ac:dyDescent="0.3">
      <c r="A354" s="5">
        <v>46009</v>
      </c>
      <c r="B354">
        <v>6</v>
      </c>
    </row>
    <row r="355" spans="1:2" x14ac:dyDescent="0.3">
      <c r="A355" s="5">
        <v>46010</v>
      </c>
      <c r="B355">
        <v>5</v>
      </c>
    </row>
    <row r="356" spans="1:2" x14ac:dyDescent="0.3">
      <c r="A356" s="5">
        <v>46011</v>
      </c>
      <c r="B356">
        <v>4</v>
      </c>
    </row>
    <row r="357" spans="1:2" x14ac:dyDescent="0.3">
      <c r="A357" s="5">
        <v>46012</v>
      </c>
      <c r="B357">
        <v>5.5</v>
      </c>
    </row>
    <row r="358" spans="1:2" x14ac:dyDescent="0.3">
      <c r="A358" s="5">
        <v>46013</v>
      </c>
      <c r="B358">
        <v>20</v>
      </c>
    </row>
    <row r="359" spans="1:2" x14ac:dyDescent="0.3">
      <c r="A359" s="5">
        <v>46014</v>
      </c>
      <c r="B359">
        <v>2.5</v>
      </c>
    </row>
    <row r="360" spans="1:2" x14ac:dyDescent="0.3">
      <c r="A360" s="5">
        <v>46015</v>
      </c>
      <c r="B360">
        <v>18</v>
      </c>
    </row>
    <row r="361" spans="1:2" x14ac:dyDescent="0.3">
      <c r="A361" s="5">
        <v>46016</v>
      </c>
      <c r="B361">
        <v>1</v>
      </c>
    </row>
    <row r="362" spans="1:2" x14ac:dyDescent="0.3">
      <c r="A362" s="5">
        <v>46017</v>
      </c>
      <c r="B362">
        <v>6</v>
      </c>
    </row>
    <row r="363" spans="1:2" x14ac:dyDescent="0.3">
      <c r="A363" s="5">
        <v>46018</v>
      </c>
      <c r="B363">
        <v>5</v>
      </c>
    </row>
    <row r="364" spans="1:2" x14ac:dyDescent="0.3">
      <c r="A364" s="5">
        <v>46019</v>
      </c>
      <c r="B364">
        <v>4</v>
      </c>
    </row>
    <row r="365" spans="1:2" x14ac:dyDescent="0.3">
      <c r="A365" s="5">
        <v>46020</v>
      </c>
      <c r="B365">
        <v>5.5</v>
      </c>
    </row>
    <row r="366" spans="1:2" x14ac:dyDescent="0.3">
      <c r="A366" s="5">
        <v>46021</v>
      </c>
      <c r="B366">
        <v>20</v>
      </c>
    </row>
    <row r="367" spans="1:2" x14ac:dyDescent="0.3">
      <c r="A367" s="5">
        <v>46022</v>
      </c>
      <c r="B367">
        <v>2.5</v>
      </c>
    </row>
    <row r="368" spans="1:2" x14ac:dyDescent="0.3">
      <c r="A368" s="5">
        <v>46023</v>
      </c>
      <c r="B368">
        <v>18</v>
      </c>
    </row>
    <row r="369" spans="1:2" x14ac:dyDescent="0.3">
      <c r="A369" s="5">
        <v>46024</v>
      </c>
      <c r="B369">
        <v>1</v>
      </c>
    </row>
    <row r="370" spans="1:2" x14ac:dyDescent="0.3">
      <c r="A370" s="5">
        <v>46025</v>
      </c>
      <c r="B370">
        <v>6</v>
      </c>
    </row>
    <row r="371" spans="1:2" x14ac:dyDescent="0.3">
      <c r="A371" s="5">
        <v>46026</v>
      </c>
      <c r="B371">
        <v>5</v>
      </c>
    </row>
    <row r="372" spans="1:2" x14ac:dyDescent="0.3">
      <c r="A372" s="5">
        <v>46027</v>
      </c>
      <c r="B372">
        <v>4</v>
      </c>
    </row>
    <row r="373" spans="1:2" x14ac:dyDescent="0.3">
      <c r="A373" s="5">
        <v>46028</v>
      </c>
      <c r="B373">
        <v>5.5</v>
      </c>
    </row>
    <row r="374" spans="1:2" x14ac:dyDescent="0.3">
      <c r="A374" s="5">
        <v>46029</v>
      </c>
      <c r="B374">
        <v>20</v>
      </c>
    </row>
    <row r="375" spans="1:2" x14ac:dyDescent="0.3">
      <c r="A375" s="5">
        <v>46030</v>
      </c>
      <c r="B375">
        <v>2.5</v>
      </c>
    </row>
    <row r="376" spans="1:2" x14ac:dyDescent="0.3">
      <c r="A376" s="5">
        <v>46031</v>
      </c>
      <c r="B376">
        <v>18</v>
      </c>
    </row>
    <row r="377" spans="1:2" x14ac:dyDescent="0.3">
      <c r="A377" s="5">
        <v>46032</v>
      </c>
      <c r="B377">
        <v>1</v>
      </c>
    </row>
    <row r="378" spans="1:2" x14ac:dyDescent="0.3">
      <c r="A378" s="5">
        <v>46033</v>
      </c>
      <c r="B378">
        <v>6</v>
      </c>
    </row>
    <row r="379" spans="1:2" x14ac:dyDescent="0.3">
      <c r="A379" s="5">
        <v>46034</v>
      </c>
      <c r="B379">
        <v>5</v>
      </c>
    </row>
    <row r="380" spans="1:2" x14ac:dyDescent="0.3">
      <c r="A380" s="5">
        <v>46035</v>
      </c>
      <c r="B380">
        <v>4</v>
      </c>
    </row>
    <row r="381" spans="1:2" x14ac:dyDescent="0.3">
      <c r="A381" s="5">
        <v>46036</v>
      </c>
      <c r="B381">
        <v>5.5</v>
      </c>
    </row>
    <row r="382" spans="1:2" x14ac:dyDescent="0.3">
      <c r="A382" s="5">
        <v>46037</v>
      </c>
      <c r="B382">
        <v>20</v>
      </c>
    </row>
    <row r="383" spans="1:2" x14ac:dyDescent="0.3">
      <c r="A383" s="5">
        <v>46038</v>
      </c>
      <c r="B383">
        <v>2.5</v>
      </c>
    </row>
    <row r="384" spans="1:2" x14ac:dyDescent="0.3">
      <c r="A384" s="5">
        <v>46039</v>
      </c>
      <c r="B384">
        <v>18</v>
      </c>
    </row>
    <row r="385" spans="1:2" x14ac:dyDescent="0.3">
      <c r="A385" s="5">
        <v>46040</v>
      </c>
      <c r="B385">
        <v>1</v>
      </c>
    </row>
    <row r="386" spans="1:2" x14ac:dyDescent="0.3">
      <c r="A386" s="5">
        <v>46041</v>
      </c>
      <c r="B386">
        <v>6</v>
      </c>
    </row>
    <row r="387" spans="1:2" x14ac:dyDescent="0.3">
      <c r="A387" s="5">
        <v>46042</v>
      </c>
      <c r="B387">
        <v>5</v>
      </c>
    </row>
    <row r="388" spans="1:2" x14ac:dyDescent="0.3">
      <c r="A388" s="5">
        <v>46043</v>
      </c>
      <c r="B388">
        <v>4</v>
      </c>
    </row>
    <row r="389" spans="1:2" x14ac:dyDescent="0.3">
      <c r="A389" s="5">
        <v>46044</v>
      </c>
      <c r="B389">
        <v>5.5</v>
      </c>
    </row>
    <row r="390" spans="1:2" x14ac:dyDescent="0.3">
      <c r="A390" s="5">
        <v>46045</v>
      </c>
      <c r="B390">
        <v>20</v>
      </c>
    </row>
    <row r="391" spans="1:2" x14ac:dyDescent="0.3">
      <c r="A391" s="5">
        <v>46046</v>
      </c>
      <c r="B391">
        <v>2.5</v>
      </c>
    </row>
    <row r="392" spans="1:2" x14ac:dyDescent="0.3">
      <c r="A392" s="5">
        <v>46047</v>
      </c>
      <c r="B392">
        <v>18</v>
      </c>
    </row>
    <row r="393" spans="1:2" x14ac:dyDescent="0.3">
      <c r="A393" s="5">
        <v>46048</v>
      </c>
      <c r="B393">
        <v>1</v>
      </c>
    </row>
    <row r="394" spans="1:2" x14ac:dyDescent="0.3">
      <c r="A394" s="5">
        <v>46049</v>
      </c>
      <c r="B394">
        <v>6</v>
      </c>
    </row>
    <row r="395" spans="1:2" x14ac:dyDescent="0.3">
      <c r="A395" s="5">
        <v>46050</v>
      </c>
      <c r="B395">
        <v>5</v>
      </c>
    </row>
    <row r="396" spans="1:2" x14ac:dyDescent="0.3">
      <c r="A396" s="5">
        <v>46051</v>
      </c>
      <c r="B396">
        <v>4</v>
      </c>
    </row>
    <row r="397" spans="1:2" x14ac:dyDescent="0.3">
      <c r="A397" s="5">
        <v>46052</v>
      </c>
      <c r="B397">
        <v>5.5</v>
      </c>
    </row>
    <row r="398" spans="1:2" x14ac:dyDescent="0.3">
      <c r="A398" s="5">
        <v>46053</v>
      </c>
      <c r="B398">
        <v>20</v>
      </c>
    </row>
    <row r="399" spans="1:2" x14ac:dyDescent="0.3">
      <c r="A399" s="5">
        <v>46054</v>
      </c>
      <c r="B399">
        <v>2.5</v>
      </c>
    </row>
    <row r="400" spans="1:2" x14ac:dyDescent="0.3">
      <c r="A400" s="5">
        <v>46055</v>
      </c>
      <c r="B400">
        <v>18</v>
      </c>
    </row>
    <row r="401" spans="1:2" x14ac:dyDescent="0.3">
      <c r="A401" s="5">
        <v>46056</v>
      </c>
      <c r="B401">
        <v>1</v>
      </c>
    </row>
    <row r="402" spans="1:2" x14ac:dyDescent="0.3">
      <c r="A402" s="5">
        <v>46057</v>
      </c>
      <c r="B402">
        <v>6</v>
      </c>
    </row>
    <row r="403" spans="1:2" x14ac:dyDescent="0.3">
      <c r="A403" s="5">
        <v>46058</v>
      </c>
      <c r="B403">
        <v>5</v>
      </c>
    </row>
    <row r="404" spans="1:2" x14ac:dyDescent="0.3">
      <c r="A404" s="5">
        <v>46059</v>
      </c>
      <c r="B404">
        <v>4</v>
      </c>
    </row>
    <row r="405" spans="1:2" x14ac:dyDescent="0.3">
      <c r="A405" s="5">
        <v>46060</v>
      </c>
      <c r="B405">
        <v>5.5</v>
      </c>
    </row>
    <row r="406" spans="1:2" x14ac:dyDescent="0.3">
      <c r="A406" s="5">
        <v>46061</v>
      </c>
      <c r="B406">
        <v>20</v>
      </c>
    </row>
    <row r="407" spans="1:2" x14ac:dyDescent="0.3">
      <c r="A407" s="5">
        <v>46062</v>
      </c>
      <c r="B407">
        <v>2.5</v>
      </c>
    </row>
    <row r="408" spans="1:2" x14ac:dyDescent="0.3">
      <c r="A408" s="5">
        <v>46063</v>
      </c>
      <c r="B408">
        <v>18</v>
      </c>
    </row>
    <row r="409" spans="1:2" x14ac:dyDescent="0.3">
      <c r="A409" s="5">
        <v>46064</v>
      </c>
      <c r="B409">
        <v>1</v>
      </c>
    </row>
    <row r="410" spans="1:2" x14ac:dyDescent="0.3">
      <c r="A410" s="5">
        <v>46065</v>
      </c>
      <c r="B410">
        <v>6</v>
      </c>
    </row>
    <row r="411" spans="1:2" x14ac:dyDescent="0.3">
      <c r="A411" s="5">
        <v>46066</v>
      </c>
      <c r="B411">
        <v>5</v>
      </c>
    </row>
    <row r="412" spans="1:2" x14ac:dyDescent="0.3">
      <c r="A412" s="5">
        <v>46067</v>
      </c>
      <c r="B412">
        <v>4</v>
      </c>
    </row>
    <row r="413" spans="1:2" x14ac:dyDescent="0.3">
      <c r="A413" s="5">
        <v>46068</v>
      </c>
      <c r="B413">
        <v>5.5</v>
      </c>
    </row>
    <row r="414" spans="1:2" x14ac:dyDescent="0.3">
      <c r="A414" s="5">
        <v>46069</v>
      </c>
      <c r="B414">
        <v>20</v>
      </c>
    </row>
    <row r="415" spans="1:2" x14ac:dyDescent="0.3">
      <c r="A415" s="5">
        <v>46070</v>
      </c>
      <c r="B415">
        <v>2.5</v>
      </c>
    </row>
    <row r="416" spans="1:2" x14ac:dyDescent="0.3">
      <c r="A416" s="5">
        <v>46071</v>
      </c>
      <c r="B416">
        <v>18</v>
      </c>
    </row>
    <row r="417" spans="1:2" x14ac:dyDescent="0.3">
      <c r="A417" s="5">
        <v>46072</v>
      </c>
      <c r="B417">
        <v>1</v>
      </c>
    </row>
    <row r="418" spans="1:2" x14ac:dyDescent="0.3">
      <c r="A418" s="5">
        <v>46073</v>
      </c>
      <c r="B418">
        <v>6</v>
      </c>
    </row>
    <row r="419" spans="1:2" x14ac:dyDescent="0.3">
      <c r="A419" s="5">
        <v>46074</v>
      </c>
      <c r="B419">
        <v>5</v>
      </c>
    </row>
    <row r="420" spans="1:2" x14ac:dyDescent="0.3">
      <c r="A420" s="5">
        <v>46075</v>
      </c>
      <c r="B420">
        <v>4</v>
      </c>
    </row>
    <row r="421" spans="1:2" x14ac:dyDescent="0.3">
      <c r="A421" s="5">
        <v>46076</v>
      </c>
      <c r="B421">
        <v>5.5</v>
      </c>
    </row>
    <row r="422" spans="1:2" x14ac:dyDescent="0.3">
      <c r="A422" s="5">
        <v>46077</v>
      </c>
      <c r="B422">
        <v>20</v>
      </c>
    </row>
    <row r="423" spans="1:2" x14ac:dyDescent="0.3">
      <c r="A423" s="5">
        <v>46078</v>
      </c>
      <c r="B423">
        <v>2.5</v>
      </c>
    </row>
    <row r="424" spans="1:2" x14ac:dyDescent="0.3">
      <c r="A424" s="5">
        <v>46079</v>
      </c>
      <c r="B424">
        <v>18</v>
      </c>
    </row>
    <row r="425" spans="1:2" x14ac:dyDescent="0.3">
      <c r="A425" s="5">
        <v>46080</v>
      </c>
      <c r="B425">
        <v>1</v>
      </c>
    </row>
    <row r="426" spans="1:2" x14ac:dyDescent="0.3">
      <c r="A426" s="5">
        <v>46081</v>
      </c>
      <c r="B426">
        <v>6</v>
      </c>
    </row>
    <row r="427" spans="1:2" x14ac:dyDescent="0.3">
      <c r="A427" s="5">
        <v>46082</v>
      </c>
      <c r="B427">
        <v>5</v>
      </c>
    </row>
    <row r="428" spans="1:2" x14ac:dyDescent="0.3">
      <c r="A428" s="5">
        <v>46083</v>
      </c>
      <c r="B428">
        <v>4</v>
      </c>
    </row>
    <row r="429" spans="1:2" x14ac:dyDescent="0.3">
      <c r="A429" s="5">
        <v>46084</v>
      </c>
      <c r="B429">
        <v>5.5</v>
      </c>
    </row>
    <row r="430" spans="1:2" x14ac:dyDescent="0.3">
      <c r="A430" s="5">
        <v>46085</v>
      </c>
      <c r="B430">
        <v>20</v>
      </c>
    </row>
    <row r="431" spans="1:2" x14ac:dyDescent="0.3">
      <c r="A431" s="5">
        <v>46086</v>
      </c>
      <c r="B431">
        <v>2.5</v>
      </c>
    </row>
    <row r="432" spans="1:2" x14ac:dyDescent="0.3">
      <c r="A432" s="5">
        <v>46087</v>
      </c>
      <c r="B432">
        <v>18</v>
      </c>
    </row>
    <row r="433" spans="1:2" x14ac:dyDescent="0.3">
      <c r="A433" s="5">
        <v>46088</v>
      </c>
      <c r="B433">
        <v>1</v>
      </c>
    </row>
    <row r="434" spans="1:2" x14ac:dyDescent="0.3">
      <c r="A434" s="5">
        <v>46089</v>
      </c>
      <c r="B434">
        <v>6</v>
      </c>
    </row>
    <row r="435" spans="1:2" x14ac:dyDescent="0.3">
      <c r="A435" s="5">
        <v>46090</v>
      </c>
      <c r="B435">
        <v>5</v>
      </c>
    </row>
    <row r="436" spans="1:2" x14ac:dyDescent="0.3">
      <c r="A436" s="5">
        <v>46091</v>
      </c>
      <c r="B436">
        <v>4</v>
      </c>
    </row>
    <row r="437" spans="1:2" x14ac:dyDescent="0.3">
      <c r="A437" s="5">
        <v>46092</v>
      </c>
      <c r="B437">
        <v>5.5</v>
      </c>
    </row>
    <row r="438" spans="1:2" x14ac:dyDescent="0.3">
      <c r="A438" s="5">
        <v>46093</v>
      </c>
      <c r="B438">
        <v>20</v>
      </c>
    </row>
    <row r="439" spans="1:2" x14ac:dyDescent="0.3">
      <c r="A439" s="5">
        <v>46094</v>
      </c>
      <c r="B439">
        <v>2.5</v>
      </c>
    </row>
    <row r="440" spans="1:2" x14ac:dyDescent="0.3">
      <c r="A440" s="5">
        <v>46095</v>
      </c>
      <c r="B440">
        <v>18</v>
      </c>
    </row>
    <row r="441" spans="1:2" x14ac:dyDescent="0.3">
      <c r="A441" s="5">
        <v>46096</v>
      </c>
      <c r="B441">
        <v>1</v>
      </c>
    </row>
    <row r="442" spans="1:2" x14ac:dyDescent="0.3">
      <c r="A442" s="5">
        <v>46097</v>
      </c>
      <c r="B442">
        <v>6</v>
      </c>
    </row>
    <row r="443" spans="1:2" x14ac:dyDescent="0.3">
      <c r="A443" s="5">
        <v>46098</v>
      </c>
      <c r="B443">
        <v>5</v>
      </c>
    </row>
    <row r="444" spans="1:2" x14ac:dyDescent="0.3">
      <c r="A444" s="5">
        <v>46099</v>
      </c>
      <c r="B444">
        <v>4</v>
      </c>
    </row>
    <row r="445" spans="1:2" x14ac:dyDescent="0.3">
      <c r="A445" s="5">
        <v>46100</v>
      </c>
      <c r="B445">
        <v>5.5</v>
      </c>
    </row>
    <row r="446" spans="1:2" x14ac:dyDescent="0.3">
      <c r="A446" s="5">
        <v>46101</v>
      </c>
      <c r="B446">
        <v>20</v>
      </c>
    </row>
    <row r="447" spans="1:2" x14ac:dyDescent="0.3">
      <c r="A447" s="5">
        <v>46102</v>
      </c>
      <c r="B447">
        <v>2.5</v>
      </c>
    </row>
    <row r="448" spans="1:2" x14ac:dyDescent="0.3">
      <c r="A448" s="5">
        <v>46103</v>
      </c>
      <c r="B448">
        <v>18</v>
      </c>
    </row>
    <row r="449" spans="1:2" x14ac:dyDescent="0.3">
      <c r="A449" s="5">
        <v>46104</v>
      </c>
      <c r="B449">
        <v>1</v>
      </c>
    </row>
    <row r="450" spans="1:2" x14ac:dyDescent="0.3">
      <c r="A450" s="5">
        <v>46105</v>
      </c>
      <c r="B450">
        <v>6</v>
      </c>
    </row>
    <row r="451" spans="1:2" x14ac:dyDescent="0.3">
      <c r="A451" s="5">
        <v>46106</v>
      </c>
      <c r="B451">
        <v>5</v>
      </c>
    </row>
    <row r="452" spans="1:2" x14ac:dyDescent="0.3">
      <c r="A452" s="5">
        <v>46107</v>
      </c>
      <c r="B452">
        <v>4</v>
      </c>
    </row>
    <row r="453" spans="1:2" x14ac:dyDescent="0.3">
      <c r="A453" s="5">
        <v>46108</v>
      </c>
      <c r="B453">
        <v>5.5</v>
      </c>
    </row>
    <row r="454" spans="1:2" x14ac:dyDescent="0.3">
      <c r="A454" s="5">
        <v>46109</v>
      </c>
      <c r="B454">
        <v>20</v>
      </c>
    </row>
    <row r="455" spans="1:2" x14ac:dyDescent="0.3">
      <c r="A455" s="5">
        <v>46110</v>
      </c>
      <c r="B455">
        <v>2.5</v>
      </c>
    </row>
    <row r="456" spans="1:2" x14ac:dyDescent="0.3">
      <c r="A456" s="5">
        <v>46111</v>
      </c>
      <c r="B456">
        <v>18</v>
      </c>
    </row>
    <row r="457" spans="1:2" x14ac:dyDescent="0.3">
      <c r="A457" s="5">
        <v>46112</v>
      </c>
      <c r="B457">
        <v>1</v>
      </c>
    </row>
    <row r="458" spans="1:2" x14ac:dyDescent="0.3">
      <c r="A458" s="5">
        <v>46113</v>
      </c>
      <c r="B458">
        <v>6</v>
      </c>
    </row>
    <row r="459" spans="1:2" x14ac:dyDescent="0.3">
      <c r="A459" s="5">
        <v>46114</v>
      </c>
      <c r="B459">
        <v>5</v>
      </c>
    </row>
    <row r="460" spans="1:2" x14ac:dyDescent="0.3">
      <c r="A460" s="5">
        <v>46115</v>
      </c>
      <c r="B460">
        <v>4</v>
      </c>
    </row>
    <row r="461" spans="1:2" x14ac:dyDescent="0.3">
      <c r="A461" s="5">
        <v>46116</v>
      </c>
      <c r="B461">
        <v>5.5</v>
      </c>
    </row>
    <row r="462" spans="1:2" x14ac:dyDescent="0.3">
      <c r="A462" s="5">
        <v>46117</v>
      </c>
      <c r="B462">
        <v>20</v>
      </c>
    </row>
    <row r="463" spans="1:2" x14ac:dyDescent="0.3">
      <c r="A463" s="5">
        <v>46118</v>
      </c>
      <c r="B463">
        <v>2.5</v>
      </c>
    </row>
    <row r="464" spans="1:2" x14ac:dyDescent="0.3">
      <c r="A464" s="5">
        <v>46119</v>
      </c>
      <c r="B464">
        <v>18</v>
      </c>
    </row>
    <row r="465" spans="1:2" x14ac:dyDescent="0.3">
      <c r="A465" s="5">
        <v>46120</v>
      </c>
      <c r="B465">
        <v>1</v>
      </c>
    </row>
    <row r="466" spans="1:2" x14ac:dyDescent="0.3">
      <c r="A466" s="5">
        <v>46121</v>
      </c>
      <c r="B466">
        <v>6</v>
      </c>
    </row>
    <row r="467" spans="1:2" x14ac:dyDescent="0.3">
      <c r="A467" s="5">
        <v>46122</v>
      </c>
      <c r="B467">
        <v>5</v>
      </c>
    </row>
    <row r="468" spans="1:2" x14ac:dyDescent="0.3">
      <c r="A468" s="5">
        <v>46123</v>
      </c>
      <c r="B468">
        <v>4</v>
      </c>
    </row>
    <row r="469" spans="1:2" x14ac:dyDescent="0.3">
      <c r="A469" s="5">
        <v>46124</v>
      </c>
      <c r="B469">
        <v>5.5</v>
      </c>
    </row>
    <row r="470" spans="1:2" x14ac:dyDescent="0.3">
      <c r="A470" s="5">
        <v>46125</v>
      </c>
      <c r="B470">
        <v>20</v>
      </c>
    </row>
    <row r="471" spans="1:2" x14ac:dyDescent="0.3">
      <c r="A471" s="5">
        <v>46126</v>
      </c>
      <c r="B471">
        <v>2.5</v>
      </c>
    </row>
    <row r="472" spans="1:2" x14ac:dyDescent="0.3">
      <c r="A472" s="5">
        <v>46127</v>
      </c>
      <c r="B472">
        <v>18</v>
      </c>
    </row>
    <row r="473" spans="1:2" x14ac:dyDescent="0.3">
      <c r="A473" s="5">
        <v>46128</v>
      </c>
      <c r="B473">
        <v>1</v>
      </c>
    </row>
    <row r="474" spans="1:2" x14ac:dyDescent="0.3">
      <c r="A474" s="5">
        <v>46129</v>
      </c>
      <c r="B474">
        <v>6</v>
      </c>
    </row>
    <row r="475" spans="1:2" x14ac:dyDescent="0.3">
      <c r="A475" s="5">
        <v>46130</v>
      </c>
      <c r="B475">
        <v>5</v>
      </c>
    </row>
    <row r="476" spans="1:2" x14ac:dyDescent="0.3">
      <c r="A476" s="5">
        <v>46131</v>
      </c>
      <c r="B476">
        <v>4</v>
      </c>
    </row>
    <row r="477" spans="1:2" x14ac:dyDescent="0.3">
      <c r="A477" s="5">
        <v>46132</v>
      </c>
      <c r="B477">
        <v>5.5</v>
      </c>
    </row>
    <row r="478" spans="1:2" x14ac:dyDescent="0.3">
      <c r="A478" s="5">
        <v>46133</v>
      </c>
      <c r="B478">
        <v>20</v>
      </c>
    </row>
    <row r="479" spans="1:2" x14ac:dyDescent="0.3">
      <c r="A479" s="5">
        <v>46134</v>
      </c>
      <c r="B479">
        <v>2.5</v>
      </c>
    </row>
    <row r="480" spans="1:2" x14ac:dyDescent="0.3">
      <c r="A480" s="5">
        <v>46135</v>
      </c>
      <c r="B480">
        <v>18</v>
      </c>
    </row>
    <row r="481" spans="1:2" x14ac:dyDescent="0.3">
      <c r="A481" s="5">
        <v>46136</v>
      </c>
      <c r="B481">
        <v>1</v>
      </c>
    </row>
    <row r="482" spans="1:2" x14ac:dyDescent="0.3">
      <c r="A482" s="5">
        <v>46137</v>
      </c>
      <c r="B482">
        <v>6</v>
      </c>
    </row>
    <row r="483" spans="1:2" x14ac:dyDescent="0.3">
      <c r="A483" s="5">
        <v>46138</v>
      </c>
      <c r="B483">
        <v>5</v>
      </c>
    </row>
    <row r="484" spans="1:2" x14ac:dyDescent="0.3">
      <c r="A484" s="5">
        <v>46139</v>
      </c>
      <c r="B484">
        <v>4</v>
      </c>
    </row>
    <row r="485" spans="1:2" x14ac:dyDescent="0.3">
      <c r="A485" s="5">
        <v>46140</v>
      </c>
      <c r="B485">
        <v>5.5</v>
      </c>
    </row>
    <row r="486" spans="1:2" x14ac:dyDescent="0.3">
      <c r="A486" s="5">
        <v>46141</v>
      </c>
      <c r="B486">
        <v>20</v>
      </c>
    </row>
    <row r="487" spans="1:2" x14ac:dyDescent="0.3">
      <c r="A487" s="5">
        <v>46142</v>
      </c>
      <c r="B487">
        <v>2.5</v>
      </c>
    </row>
    <row r="488" spans="1:2" x14ac:dyDescent="0.3">
      <c r="A488" s="5">
        <v>46143</v>
      </c>
      <c r="B488">
        <v>18</v>
      </c>
    </row>
    <row r="489" spans="1:2" x14ac:dyDescent="0.3">
      <c r="A489" s="5">
        <v>46144</v>
      </c>
      <c r="B489">
        <v>1</v>
      </c>
    </row>
    <row r="490" spans="1:2" x14ac:dyDescent="0.3">
      <c r="A490" s="5">
        <v>46145</v>
      </c>
      <c r="B490">
        <v>6</v>
      </c>
    </row>
    <row r="491" spans="1:2" x14ac:dyDescent="0.3">
      <c r="A491" s="5">
        <v>46146</v>
      </c>
      <c r="B491">
        <v>5</v>
      </c>
    </row>
    <row r="492" spans="1:2" x14ac:dyDescent="0.3">
      <c r="A492" s="5">
        <v>46147</v>
      </c>
      <c r="B492">
        <v>4</v>
      </c>
    </row>
    <row r="493" spans="1:2" x14ac:dyDescent="0.3">
      <c r="A493" s="5">
        <v>46148</v>
      </c>
      <c r="B493">
        <v>5.5</v>
      </c>
    </row>
    <row r="494" spans="1:2" x14ac:dyDescent="0.3">
      <c r="A494" s="5">
        <v>46149</v>
      </c>
      <c r="B494">
        <v>20</v>
      </c>
    </row>
    <row r="495" spans="1:2" x14ac:dyDescent="0.3">
      <c r="A495" s="5">
        <v>46150</v>
      </c>
      <c r="B495">
        <v>2.5</v>
      </c>
    </row>
    <row r="496" spans="1:2" x14ac:dyDescent="0.3">
      <c r="A496" s="5">
        <v>46151</v>
      </c>
      <c r="B496">
        <v>18</v>
      </c>
    </row>
    <row r="497" spans="1:2" x14ac:dyDescent="0.3">
      <c r="A497" s="5">
        <v>46152</v>
      </c>
      <c r="B497">
        <v>1</v>
      </c>
    </row>
    <row r="498" spans="1:2" x14ac:dyDescent="0.3">
      <c r="A498" s="5">
        <v>46153</v>
      </c>
      <c r="B498">
        <v>6</v>
      </c>
    </row>
    <row r="499" spans="1:2" x14ac:dyDescent="0.3">
      <c r="A499" s="5">
        <v>46154</v>
      </c>
      <c r="B499">
        <v>5</v>
      </c>
    </row>
    <row r="500" spans="1:2" x14ac:dyDescent="0.3">
      <c r="A500" s="5">
        <v>46155</v>
      </c>
      <c r="B500">
        <v>4</v>
      </c>
    </row>
    <row r="501" spans="1:2" x14ac:dyDescent="0.3">
      <c r="A501" s="5">
        <v>46156</v>
      </c>
      <c r="B501">
        <v>5.5</v>
      </c>
    </row>
    <row r="502" spans="1:2" x14ac:dyDescent="0.3">
      <c r="A502" s="5">
        <v>46157</v>
      </c>
      <c r="B502">
        <v>20</v>
      </c>
    </row>
    <row r="503" spans="1:2" x14ac:dyDescent="0.3">
      <c r="A503" s="5" t="s">
        <v>525</v>
      </c>
      <c r="B503">
        <v>3878.5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Sheet4</vt:lpstr>
      <vt:lpstr>pivot 1</vt:lpstr>
      <vt:lpstr>pivot 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Pavitra Raman</dc:creator>
  <cp:lastModifiedBy>Pavitra Raman</cp:lastModifiedBy>
  <dcterms:created xsi:type="dcterms:W3CDTF">2026-04-13T15:15:34Z</dcterms:created>
  <dcterms:modified xsi:type="dcterms:W3CDTF">2026-04-18T12:39:07Z</dcterms:modified>
</cp:coreProperties>
</file>